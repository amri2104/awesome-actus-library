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zhaw-my.sharepoint.com/personal/ghodramr_students_zhaw_ch/Documents/WING 3.Sem/Versicherungsmathematik/Lebensversicherung/"/>
    </mc:Choice>
  </mc:AlternateContent>
  <xr:revisionPtr revIDLastSave="71" documentId="13_ncr:1_{0DDA44C9-5FAF-469C-A1F7-A2AA23FB0940}" xr6:coauthVersionLast="47" xr6:coauthVersionMax="47" xr10:uidLastSave="{7977B7C4-880E-4AEA-81EE-5CB4AB5C7C0B}"/>
  <bookViews>
    <workbookView xWindow="0" yWindow="680" windowWidth="34200" windowHeight="20180" activeTab="2" xr2:uid="{00000000-000D-0000-FFFF-FFFF00000000}"/>
  </bookViews>
  <sheets>
    <sheet name="EKM 95" sheetId="1" r:id="rId1"/>
    <sheet name="EKF 95" sheetId="4" r:id="rId2"/>
    <sheet name="EKM 0105" sheetId="5" r:id="rId3"/>
    <sheet name="EKF 0105" sheetId="7" r:id="rId4"/>
    <sheet name="qx-Grafiken" sheetId="6" r:id="rId5"/>
  </sheets>
  <definedNames>
    <definedName name="Data_EKF_0105">'EKF 0105'!$A$4:$K$131</definedName>
    <definedName name="Data_EKF_95">'EKF 95'!$A$4:$K$131</definedName>
    <definedName name="Data_EKM_0105">'EKM 0105'!$A$4:$K$131</definedName>
    <definedName name="Data_EKM_95">'EKM 95'!$A$4:$K$131</definedName>
    <definedName name="gender">#REF!</definedName>
    <definedName name="m">#REF!</definedName>
    <definedName name="n">#REF!</definedName>
    <definedName name="_xlnm.Print_Area" localSheetId="3">'EKF 0105'!$A$1:$K$131</definedName>
    <definedName name="_xlnm.Print_Area" localSheetId="1">'EKF 95'!$A$1:$K$131</definedName>
    <definedName name="_xlnm.Print_Area" localSheetId="2">'EKM 0105'!$A$1:$K$131</definedName>
    <definedName name="_xlnm.Print_Area" localSheetId="0">'EKM 95'!$A$1:$K$131</definedName>
    <definedName name="_xlnm.Print_Titles" localSheetId="3">'EKF 0105'!$1:$3</definedName>
    <definedName name="_xlnm.Print_Titles" localSheetId="1">'EKF 95'!$1:$3</definedName>
    <definedName name="_xlnm.Print_Titles" localSheetId="2">'EKM 0105'!$1:$3</definedName>
    <definedName name="_xlnm.Print_Titles" localSheetId="0">'EKM 95'!$1:$3</definedName>
    <definedName name="tau">#REF!</definedName>
    <definedName name="tech_Zins">#REF!</definedName>
    <definedName name="VS">#REF!</definedName>
    <definedName name="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0" i="1" l="1"/>
  <c r="N28" i="1"/>
  <c r="M29" i="4"/>
  <c r="N16" i="4"/>
  <c r="N5" i="1" l="1"/>
  <c r="N4" i="1"/>
  <c r="A5" i="7"/>
  <c r="A6" i="7" s="1"/>
  <c r="C5" i="7"/>
  <c r="E4" i="7"/>
  <c r="F4" i="7" s="1"/>
  <c r="E5" i="7"/>
  <c r="F5" i="7" s="1"/>
  <c r="J131" i="7"/>
  <c r="K131" i="7"/>
  <c r="A5" i="5"/>
  <c r="A6" i="5"/>
  <c r="A7" i="5" s="1"/>
  <c r="A8" i="5" s="1"/>
  <c r="C5" i="5"/>
  <c r="C6" i="5"/>
  <c r="C7" i="5" s="1"/>
  <c r="C8" i="5"/>
  <c r="C9" i="5" s="1"/>
  <c r="C10" i="5"/>
  <c r="C11" i="5" s="1"/>
  <c r="C12" i="5" s="1"/>
  <c r="C13" i="5" s="1"/>
  <c r="C14" i="5" s="1"/>
  <c r="J131" i="5"/>
  <c r="B2" i="7"/>
  <c r="C2" i="7"/>
  <c r="D2" i="7" s="1"/>
  <c r="E2" i="7" s="1"/>
  <c r="F2" i="7" s="1"/>
  <c r="G2" i="7" s="1"/>
  <c r="H2" i="7" s="1"/>
  <c r="I2" i="7" s="1"/>
  <c r="J2" i="7" s="1"/>
  <c r="K2" i="7" s="1"/>
  <c r="B2" i="5"/>
  <c r="C2" i="5"/>
  <c r="D2" i="5" s="1"/>
  <c r="E2" i="5" s="1"/>
  <c r="F2" i="5" s="1"/>
  <c r="G2" i="5" s="1"/>
  <c r="H2" i="5" s="1"/>
  <c r="I2" i="5"/>
  <c r="J2" i="5" s="1"/>
  <c r="K2" i="5" s="1"/>
  <c r="B2" i="4"/>
  <c r="C2" i="4"/>
  <c r="D2" i="4" s="1"/>
  <c r="E2" i="4" s="1"/>
  <c r="F2" i="4" s="1"/>
  <c r="G2" i="4" s="1"/>
  <c r="H2" i="4" s="1"/>
  <c r="I2" i="4" s="1"/>
  <c r="J2" i="4" s="1"/>
  <c r="K2" i="4" s="1"/>
  <c r="B2" i="1"/>
  <c r="C2" i="1"/>
  <c r="D2" i="1" s="1"/>
  <c r="E2" i="1" s="1"/>
  <c r="F2" i="1" s="1"/>
  <c r="G2" i="1" s="1"/>
  <c r="H2" i="1" s="1"/>
  <c r="I2" i="1" s="1"/>
  <c r="J2" i="1" s="1"/>
  <c r="K2" i="1"/>
  <c r="F7" i="6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A7" i="6"/>
  <c r="A8" i="6"/>
  <c r="A9" i="6" s="1"/>
  <c r="K131" i="5"/>
  <c r="E5" i="5"/>
  <c r="F5" i="5"/>
  <c r="E4" i="5"/>
  <c r="F4" i="5" s="1"/>
  <c r="J131" i="4"/>
  <c r="K131" i="4"/>
  <c r="I134" i="4" s="1"/>
  <c r="D133" i="4"/>
  <c r="C5" i="4"/>
  <c r="C6" i="4"/>
  <c r="C7" i="4" s="1"/>
  <c r="C8" i="4" s="1"/>
  <c r="A5" i="4"/>
  <c r="E5" i="4"/>
  <c r="F5" i="4" s="1"/>
  <c r="A6" i="4"/>
  <c r="E4" i="4"/>
  <c r="F4" i="4" s="1"/>
  <c r="C5" i="1"/>
  <c r="C6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J131" i="1"/>
  <c r="E8" i="1"/>
  <c r="E6" i="1"/>
  <c r="F6" i="1" s="1"/>
  <c r="D4" i="1"/>
  <c r="K131" i="1"/>
  <c r="E6" i="5"/>
  <c r="D5" i="5"/>
  <c r="I5" i="5"/>
  <c r="D4" i="5"/>
  <c r="I4" i="5" s="1"/>
  <c r="E6" i="4"/>
  <c r="I5" i="4" s="1"/>
  <c r="F6" i="4"/>
  <c r="A7" i="4"/>
  <c r="D6" i="4"/>
  <c r="D4" i="4"/>
  <c r="D5" i="4"/>
  <c r="D6" i="5"/>
  <c r="E7" i="5"/>
  <c r="E7" i="4"/>
  <c r="I6" i="4"/>
  <c r="A8" i="4"/>
  <c r="D7" i="5"/>
  <c r="E8" i="4"/>
  <c r="A9" i="4"/>
  <c r="D8" i="5"/>
  <c r="E9" i="4"/>
  <c r="A10" i="4"/>
  <c r="A11" i="4" s="1"/>
  <c r="D9" i="5"/>
  <c r="E10" i="4"/>
  <c r="D10" i="5"/>
  <c r="D11" i="5"/>
  <c r="D12" i="5"/>
  <c r="F6" i="5"/>
  <c r="F7" i="5"/>
  <c r="E6" i="6"/>
  <c r="B8" i="6"/>
  <c r="C6" i="6"/>
  <c r="E7" i="6"/>
  <c r="C7" i="6"/>
  <c r="B9" i="6"/>
  <c r="D8" i="6"/>
  <c r="B7" i="6"/>
  <c r="D7" i="6"/>
  <c r="D6" i="6"/>
  <c r="E8" i="6"/>
  <c r="B6" i="6"/>
  <c r="C8" i="6"/>
  <c r="I6" i="5" l="1"/>
  <c r="I4" i="4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E42" i="1"/>
  <c r="E22" i="1"/>
  <c r="D8" i="4"/>
  <c r="I8" i="4" s="1"/>
  <c r="C9" i="4"/>
  <c r="F8" i="4"/>
  <c r="A12" i="4"/>
  <c r="E11" i="4"/>
  <c r="E55" i="1"/>
  <c r="E39" i="1"/>
  <c r="E31" i="1"/>
  <c r="E23" i="1"/>
  <c r="E15" i="1"/>
  <c r="E7" i="1"/>
  <c r="E60" i="1"/>
  <c r="E36" i="1"/>
  <c r="E28" i="1"/>
  <c r="E20" i="1"/>
  <c r="E12" i="1"/>
  <c r="E49" i="1"/>
  <c r="E41" i="1"/>
  <c r="E33" i="1"/>
  <c r="E25" i="1"/>
  <c r="E17" i="1"/>
  <c r="E9" i="1"/>
  <c r="E4" i="1"/>
  <c r="F4" i="1" s="1"/>
  <c r="E62" i="1"/>
  <c r="E51" i="1"/>
  <c r="E43" i="1"/>
  <c r="E35" i="1"/>
  <c r="E27" i="1"/>
  <c r="E19" i="1"/>
  <c r="E11" i="1"/>
  <c r="E69" i="1"/>
  <c r="E45" i="1"/>
  <c r="E37" i="1"/>
  <c r="E29" i="1"/>
  <c r="E21" i="1"/>
  <c r="E13" i="1"/>
  <c r="E5" i="1"/>
  <c r="F5" i="1" s="1"/>
  <c r="E58" i="1"/>
  <c r="E48" i="1"/>
  <c r="E34" i="1"/>
  <c r="E40" i="1"/>
  <c r="E26" i="1"/>
  <c r="E66" i="1"/>
  <c r="E46" i="1"/>
  <c r="E32" i="1"/>
  <c r="E18" i="1"/>
  <c r="E64" i="1"/>
  <c r="E38" i="1"/>
  <c r="E24" i="1"/>
  <c r="E10" i="1"/>
  <c r="E30" i="1"/>
  <c r="E16" i="1"/>
  <c r="E50" i="1"/>
  <c r="E14" i="1"/>
  <c r="A10" i="6"/>
  <c r="D6" i="1"/>
  <c r="I6" i="1" s="1"/>
  <c r="C7" i="1"/>
  <c r="D5" i="1"/>
  <c r="I5" i="1" s="1"/>
  <c r="C15" i="5"/>
  <c r="D14" i="5" s="1"/>
  <c r="D13" i="5"/>
  <c r="A9" i="5"/>
  <c r="E8" i="5"/>
  <c r="I4" i="1"/>
  <c r="F7" i="4"/>
  <c r="D7" i="4"/>
  <c r="I7" i="4" s="1"/>
  <c r="A7" i="7"/>
  <c r="E6" i="7"/>
  <c r="D4" i="7"/>
  <c r="I4" i="7" s="1"/>
  <c r="C6" i="7"/>
  <c r="C9" i="6"/>
  <c r="D9" i="6"/>
  <c r="E9" i="6"/>
  <c r="E53" i="1" l="1"/>
  <c r="E59" i="1"/>
  <c r="E44" i="1"/>
  <c r="C7" i="7"/>
  <c r="D6" i="7" s="1"/>
  <c r="F6" i="7"/>
  <c r="D5" i="7"/>
  <c r="I5" i="7" s="1"/>
  <c r="A11" i="6"/>
  <c r="E56" i="1"/>
  <c r="E61" i="1"/>
  <c r="E67" i="1"/>
  <c r="E54" i="1"/>
  <c r="E52" i="1"/>
  <c r="E47" i="1"/>
  <c r="C16" i="5"/>
  <c r="A73" i="1"/>
  <c r="E72" i="1"/>
  <c r="A10" i="5"/>
  <c r="E9" i="5"/>
  <c r="E70" i="1"/>
  <c r="E57" i="1"/>
  <c r="E68" i="1"/>
  <c r="E63" i="1"/>
  <c r="E7" i="7"/>
  <c r="A8" i="7"/>
  <c r="C8" i="1"/>
  <c r="D7" i="1"/>
  <c r="I7" i="1" s="1"/>
  <c r="F7" i="1"/>
  <c r="E65" i="1"/>
  <c r="E71" i="1"/>
  <c r="A13" i="4"/>
  <c r="E12" i="4"/>
  <c r="I7" i="5"/>
  <c r="F8" i="5"/>
  <c r="F9" i="4"/>
  <c r="C10" i="4"/>
  <c r="D9" i="4"/>
  <c r="I9" i="4" s="1"/>
  <c r="D10" i="6"/>
  <c r="B10" i="6"/>
  <c r="C10" i="6"/>
  <c r="E10" i="6"/>
  <c r="I6" i="7" l="1"/>
  <c r="A11" i="5"/>
  <c r="E10" i="5"/>
  <c r="A12" i="6"/>
  <c r="C17" i="5"/>
  <c r="D16" i="5"/>
  <c r="F9" i="5"/>
  <c r="I8" i="5"/>
  <c r="D8" i="1"/>
  <c r="I8" i="1" s="1"/>
  <c r="C9" i="1"/>
  <c r="F8" i="1"/>
  <c r="C11" i="4"/>
  <c r="D10" i="4"/>
  <c r="I10" i="4" s="1"/>
  <c r="F10" i="4"/>
  <c r="A9" i="7"/>
  <c r="E8" i="7"/>
  <c r="A74" i="1"/>
  <c r="E73" i="1"/>
  <c r="A14" i="4"/>
  <c r="E13" i="4"/>
  <c r="D15" i="5"/>
  <c r="C8" i="7"/>
  <c r="D7" i="7" s="1"/>
  <c r="I7" i="7" s="1"/>
  <c r="F7" i="7"/>
  <c r="D11" i="6"/>
  <c r="B11" i="6"/>
  <c r="C11" i="6"/>
  <c r="E11" i="6"/>
  <c r="F10" i="5" l="1"/>
  <c r="I9" i="5"/>
  <c r="A12" i="5"/>
  <c r="E11" i="5"/>
  <c r="E14" i="4"/>
  <c r="A15" i="4"/>
  <c r="A10" i="7"/>
  <c r="E9" i="7"/>
  <c r="C12" i="4"/>
  <c r="D11" i="4"/>
  <c r="I11" i="4" s="1"/>
  <c r="F11" i="4"/>
  <c r="C18" i="5"/>
  <c r="A75" i="1"/>
  <c r="E74" i="1"/>
  <c r="C9" i="7"/>
  <c r="F8" i="7"/>
  <c r="D8" i="7"/>
  <c r="C10" i="1"/>
  <c r="F9" i="1"/>
  <c r="A13" i="6"/>
  <c r="E12" i="6"/>
  <c r="D12" i="6"/>
  <c r="C12" i="6"/>
  <c r="B12" i="6"/>
  <c r="I8" i="7" l="1"/>
  <c r="C11" i="1"/>
  <c r="D10" i="1" s="1"/>
  <c r="I10" i="1" s="1"/>
  <c r="F10" i="1"/>
  <c r="D9" i="1"/>
  <c r="I9" i="1" s="1"/>
  <c r="E15" i="4"/>
  <c r="A16" i="4"/>
  <c r="F11" i="5"/>
  <c r="I10" i="5"/>
  <c r="C19" i="5"/>
  <c r="D18" i="5"/>
  <c r="A13" i="5"/>
  <c r="E12" i="5"/>
  <c r="C10" i="7"/>
  <c r="F9" i="7"/>
  <c r="D9" i="7"/>
  <c r="C13" i="4"/>
  <c r="D12" i="4"/>
  <c r="I12" i="4" s="1"/>
  <c r="F12" i="4"/>
  <c r="D17" i="5"/>
  <c r="A14" i="6"/>
  <c r="A76" i="1"/>
  <c r="E75" i="1"/>
  <c r="A11" i="7"/>
  <c r="E10" i="7"/>
  <c r="C13" i="6"/>
  <c r="D13" i="6"/>
  <c r="B13" i="6"/>
  <c r="E13" i="6"/>
  <c r="I9" i="7" l="1"/>
  <c r="F12" i="5"/>
  <c r="I11" i="5"/>
  <c r="A12" i="7"/>
  <c r="E11" i="7"/>
  <c r="A14" i="5"/>
  <c r="E13" i="5"/>
  <c r="C12" i="1"/>
  <c r="D11" i="1"/>
  <c r="I11" i="1" s="1"/>
  <c r="F11" i="1"/>
  <c r="C11" i="7"/>
  <c r="F10" i="7"/>
  <c r="D10" i="7"/>
  <c r="A15" i="6"/>
  <c r="A77" i="1"/>
  <c r="E76" i="1"/>
  <c r="C14" i="4"/>
  <c r="D13" i="4"/>
  <c r="I13" i="4" s="1"/>
  <c r="F13" i="4"/>
  <c r="C20" i="5"/>
  <c r="D19" i="5"/>
  <c r="E16" i="4"/>
  <c r="A17" i="4"/>
  <c r="D14" i="6"/>
  <c r="B14" i="6"/>
  <c r="E14" i="6"/>
  <c r="C14" i="6"/>
  <c r="C13" i="1" l="1"/>
  <c r="D12" i="1"/>
  <c r="I12" i="1" s="1"/>
  <c r="F12" i="1"/>
  <c r="A13" i="7"/>
  <c r="E12" i="7"/>
  <c r="A16" i="6"/>
  <c r="C15" i="4"/>
  <c r="D14" i="4"/>
  <c r="I14" i="4" s="1"/>
  <c r="F14" i="4"/>
  <c r="E17" i="4"/>
  <c r="A18" i="4"/>
  <c r="I10" i="7"/>
  <c r="A15" i="5"/>
  <c r="E14" i="5"/>
  <c r="F13" i="5"/>
  <c r="I12" i="5"/>
  <c r="C21" i="5"/>
  <c r="D20" i="5"/>
  <c r="A78" i="1"/>
  <c r="E77" i="1"/>
  <c r="F11" i="7"/>
  <c r="C12" i="7"/>
  <c r="B15" i="6"/>
  <c r="E15" i="6"/>
  <c r="D15" i="6"/>
  <c r="C15" i="6"/>
  <c r="A17" i="6" l="1"/>
  <c r="F12" i="7"/>
  <c r="C13" i="7"/>
  <c r="D12" i="7"/>
  <c r="D11" i="7"/>
  <c r="I11" i="7" s="1"/>
  <c r="F15" i="4"/>
  <c r="C16" i="4"/>
  <c r="A14" i="7"/>
  <c r="E13" i="7"/>
  <c r="C22" i="5"/>
  <c r="D21" i="5"/>
  <c r="F14" i="5"/>
  <c r="I13" i="5"/>
  <c r="A16" i="5"/>
  <c r="E15" i="5"/>
  <c r="A19" i="4"/>
  <c r="E18" i="4"/>
  <c r="A79" i="1"/>
  <c r="E78" i="1"/>
  <c r="C14" i="1"/>
  <c r="D13" i="1"/>
  <c r="I13" i="1" s="1"/>
  <c r="F13" i="1"/>
  <c r="B16" i="6"/>
  <c r="D16" i="6"/>
  <c r="C16" i="6"/>
  <c r="E16" i="6"/>
  <c r="I12" i="7" l="1"/>
  <c r="C15" i="1"/>
  <c r="F14" i="1"/>
  <c r="C23" i="5"/>
  <c r="D22" i="5"/>
  <c r="C14" i="7"/>
  <c r="F13" i="7"/>
  <c r="A18" i="6"/>
  <c r="E19" i="4"/>
  <c r="A20" i="4"/>
  <c r="A80" i="1"/>
  <c r="E79" i="1"/>
  <c r="F15" i="5"/>
  <c r="I14" i="5"/>
  <c r="A15" i="7"/>
  <c r="E14" i="7"/>
  <c r="A17" i="5"/>
  <c r="E16" i="5"/>
  <c r="C17" i="4"/>
  <c r="D16" i="4"/>
  <c r="I16" i="4" s="1"/>
  <c r="F16" i="4"/>
  <c r="D15" i="4"/>
  <c r="I15" i="4" s="1"/>
  <c r="C17" i="6"/>
  <c r="B17" i="6"/>
  <c r="D17" i="6"/>
  <c r="E17" i="6"/>
  <c r="C15" i="7" l="1"/>
  <c r="F14" i="7"/>
  <c r="E20" i="4"/>
  <c r="A21" i="4"/>
  <c r="A19" i="6"/>
  <c r="A81" i="1"/>
  <c r="E80" i="1"/>
  <c r="F16" i="5"/>
  <c r="I15" i="5"/>
  <c r="C24" i="5"/>
  <c r="D23" i="5"/>
  <c r="C16" i="1"/>
  <c r="D15" i="1"/>
  <c r="I15" i="1" s="1"/>
  <c r="F15" i="1"/>
  <c r="F17" i="4"/>
  <c r="C18" i="4"/>
  <c r="D17" i="4" s="1"/>
  <c r="I17" i="4" s="1"/>
  <c r="A18" i="5"/>
  <c r="E17" i="5"/>
  <c r="A16" i="7"/>
  <c r="E15" i="7"/>
  <c r="D13" i="7"/>
  <c r="I13" i="7" s="1"/>
  <c r="D14" i="1"/>
  <c r="I14" i="1" s="1"/>
  <c r="B18" i="6"/>
  <c r="C18" i="6"/>
  <c r="E18" i="6"/>
  <c r="D18" i="6"/>
  <c r="C25" i="5" l="1"/>
  <c r="D24" i="5" s="1"/>
  <c r="A19" i="5"/>
  <c r="E18" i="5"/>
  <c r="A20" i="6"/>
  <c r="F17" i="5"/>
  <c r="I16" i="5"/>
  <c r="C16" i="7"/>
  <c r="F15" i="7"/>
  <c r="D15" i="7"/>
  <c r="I15" i="7" s="1"/>
  <c r="C19" i="4"/>
  <c r="D18" i="4"/>
  <c r="I18" i="4" s="1"/>
  <c r="F18" i="4"/>
  <c r="E21" i="4"/>
  <c r="A22" i="4"/>
  <c r="A17" i="7"/>
  <c r="E16" i="7"/>
  <c r="C17" i="1"/>
  <c r="D16" i="1"/>
  <c r="I16" i="1" s="1"/>
  <c r="F16" i="1"/>
  <c r="A82" i="1"/>
  <c r="E81" i="1"/>
  <c r="D14" i="7"/>
  <c r="I14" i="7" s="1"/>
  <c r="B19" i="6"/>
  <c r="E19" i="6"/>
  <c r="D19" i="6"/>
  <c r="C19" i="6"/>
  <c r="A21" i="6" l="1"/>
  <c r="E22" i="4"/>
  <c r="A23" i="4"/>
  <c r="C20" i="4"/>
  <c r="F19" i="4"/>
  <c r="A83" i="1"/>
  <c r="E82" i="1"/>
  <c r="F18" i="5"/>
  <c r="I17" i="5"/>
  <c r="A20" i="5"/>
  <c r="E19" i="5"/>
  <c r="C17" i="7"/>
  <c r="F16" i="7"/>
  <c r="D16" i="7"/>
  <c r="D17" i="1"/>
  <c r="I17" i="1" s="1"/>
  <c r="C18" i="1"/>
  <c r="F17" i="1"/>
  <c r="A18" i="7"/>
  <c r="E17" i="7"/>
  <c r="C26" i="5"/>
  <c r="D25" i="5"/>
  <c r="B20" i="6"/>
  <c r="D20" i="6"/>
  <c r="C20" i="6"/>
  <c r="E20" i="6"/>
  <c r="C21" i="4" l="1"/>
  <c r="D20" i="4" s="1"/>
  <c r="I20" i="4" s="1"/>
  <c r="F20" i="4"/>
  <c r="A22" i="6"/>
  <c r="I16" i="7"/>
  <c r="F19" i="5"/>
  <c r="I18" i="5"/>
  <c r="D19" i="4"/>
  <c r="I19" i="4" s="1"/>
  <c r="A21" i="5"/>
  <c r="E20" i="5"/>
  <c r="E23" i="4"/>
  <c r="A24" i="4"/>
  <c r="C27" i="5"/>
  <c r="D26" i="5"/>
  <c r="C18" i="7"/>
  <c r="F17" i="7"/>
  <c r="A19" i="7"/>
  <c r="E18" i="7"/>
  <c r="A84" i="1"/>
  <c r="E83" i="1"/>
  <c r="C19" i="1"/>
  <c r="D18" i="1" s="1"/>
  <c r="I18" i="1" s="1"/>
  <c r="F18" i="1"/>
  <c r="B21" i="6"/>
  <c r="C21" i="6"/>
  <c r="D21" i="6"/>
  <c r="E21" i="6"/>
  <c r="C19" i="7" l="1"/>
  <c r="F18" i="7"/>
  <c r="A23" i="6"/>
  <c r="A85" i="1"/>
  <c r="E84" i="1"/>
  <c r="C28" i="5"/>
  <c r="D27" i="5"/>
  <c r="A20" i="7"/>
  <c r="E19" i="7"/>
  <c r="C20" i="1"/>
  <c r="D19" i="1" s="1"/>
  <c r="I19" i="1" s="1"/>
  <c r="F19" i="1"/>
  <c r="E24" i="4"/>
  <c r="A25" i="4"/>
  <c r="F21" i="4"/>
  <c r="C22" i="4"/>
  <c r="D21" i="4"/>
  <c r="I21" i="4" s="1"/>
  <c r="D17" i="7"/>
  <c r="I17" i="7" s="1"/>
  <c r="I19" i="5"/>
  <c r="F20" i="5"/>
  <c r="A22" i="5"/>
  <c r="E21" i="5"/>
  <c r="D22" i="6"/>
  <c r="B22" i="6"/>
  <c r="E22" i="6"/>
  <c r="C22" i="6"/>
  <c r="A23" i="5" l="1"/>
  <c r="E22" i="5"/>
  <c r="C29" i="5"/>
  <c r="D28" i="5" s="1"/>
  <c r="F19" i="7"/>
  <c r="C20" i="7"/>
  <c r="A86" i="1"/>
  <c r="E85" i="1"/>
  <c r="I20" i="5"/>
  <c r="F21" i="5"/>
  <c r="E25" i="4"/>
  <c r="A26" i="4"/>
  <c r="C21" i="1"/>
  <c r="F20" i="1"/>
  <c r="D20" i="1"/>
  <c r="I20" i="1" s="1"/>
  <c r="D22" i="4"/>
  <c r="I22" i="4" s="1"/>
  <c r="C23" i="4"/>
  <c r="F22" i="4"/>
  <c r="A21" i="7"/>
  <c r="E20" i="7"/>
  <c r="A24" i="6"/>
  <c r="D18" i="7"/>
  <c r="I18" i="7" s="1"/>
  <c r="D23" i="6"/>
  <c r="B23" i="6"/>
  <c r="E23" i="6"/>
  <c r="C23" i="6"/>
  <c r="F20" i="7" l="1"/>
  <c r="C21" i="7"/>
  <c r="D20" i="7" s="1"/>
  <c r="I20" i="7" s="1"/>
  <c r="A25" i="6"/>
  <c r="C22" i="1"/>
  <c r="D21" i="1"/>
  <c r="I21" i="1" s="1"/>
  <c r="F21" i="1"/>
  <c r="C30" i="5"/>
  <c r="D29" i="5"/>
  <c r="A22" i="7"/>
  <c r="E21" i="7"/>
  <c r="I21" i="5"/>
  <c r="F22" i="5"/>
  <c r="A27" i="4"/>
  <c r="E26" i="4"/>
  <c r="A87" i="1"/>
  <c r="E86" i="1"/>
  <c r="A24" i="5"/>
  <c r="E23" i="5"/>
  <c r="C24" i="4"/>
  <c r="F23" i="4"/>
  <c r="D19" i="7"/>
  <c r="I19" i="7" s="1"/>
  <c r="E24" i="6"/>
  <c r="C24" i="6"/>
  <c r="D24" i="6"/>
  <c r="B24" i="6"/>
  <c r="C25" i="4" l="1"/>
  <c r="D24" i="4" s="1"/>
  <c r="I24" i="4" s="1"/>
  <c r="F24" i="4"/>
  <c r="D23" i="4"/>
  <c r="I23" i="4" s="1"/>
  <c r="I22" i="5"/>
  <c r="F23" i="5"/>
  <c r="A26" i="6"/>
  <c r="A23" i="7"/>
  <c r="E22" i="7"/>
  <c r="C22" i="7"/>
  <c r="D21" i="7" s="1"/>
  <c r="F21" i="7"/>
  <c r="A25" i="5"/>
  <c r="E24" i="5"/>
  <c r="A88" i="1"/>
  <c r="E87" i="1"/>
  <c r="C31" i="5"/>
  <c r="D30" i="5" s="1"/>
  <c r="C23" i="1"/>
  <c r="F22" i="1"/>
  <c r="A28" i="4"/>
  <c r="E27" i="4"/>
  <c r="B25" i="6"/>
  <c r="E25" i="6"/>
  <c r="D25" i="6"/>
  <c r="C25" i="6"/>
  <c r="I21" i="7" l="1"/>
  <c r="E28" i="4"/>
  <c r="A29" i="4"/>
  <c r="A27" i="6"/>
  <c r="A89" i="1"/>
  <c r="E88" i="1"/>
  <c r="I23" i="5"/>
  <c r="F24" i="5"/>
  <c r="C24" i="1"/>
  <c r="D23" i="1" s="1"/>
  <c r="I23" i="1" s="1"/>
  <c r="F23" i="1"/>
  <c r="D22" i="1"/>
  <c r="I22" i="1" s="1"/>
  <c r="A26" i="5"/>
  <c r="E25" i="5"/>
  <c r="E23" i="7"/>
  <c r="A24" i="7"/>
  <c r="C32" i="5"/>
  <c r="D31" i="5" s="1"/>
  <c r="C23" i="7"/>
  <c r="F22" i="7"/>
  <c r="D22" i="7"/>
  <c r="F25" i="4"/>
  <c r="C26" i="4"/>
  <c r="D25" i="4" s="1"/>
  <c r="I25" i="4" s="1"/>
  <c r="C26" i="6"/>
  <c r="E26" i="6"/>
  <c r="B26" i="6"/>
  <c r="D26" i="6"/>
  <c r="A27" i="5" l="1"/>
  <c r="E26" i="5"/>
  <c r="C24" i="7"/>
  <c r="D23" i="7"/>
  <c r="F23" i="7"/>
  <c r="A28" i="6"/>
  <c r="A30" i="4"/>
  <c r="E29" i="4"/>
  <c r="I22" i="7"/>
  <c r="F25" i="5"/>
  <c r="I24" i="5"/>
  <c r="C33" i="5"/>
  <c r="D32" i="5"/>
  <c r="D24" i="1"/>
  <c r="I24" i="1" s="1"/>
  <c r="C25" i="1"/>
  <c r="F24" i="1"/>
  <c r="C27" i="4"/>
  <c r="D26" i="4"/>
  <c r="I26" i="4" s="1"/>
  <c r="F26" i="4"/>
  <c r="A25" i="7"/>
  <c r="E24" i="7"/>
  <c r="A90" i="1"/>
  <c r="E89" i="1"/>
  <c r="B27" i="6"/>
  <c r="C27" i="6"/>
  <c r="D27" i="6"/>
  <c r="E27" i="6"/>
  <c r="A26" i="7" l="1"/>
  <c r="E25" i="7"/>
  <c r="C34" i="5"/>
  <c r="I23" i="7"/>
  <c r="C28" i="4"/>
  <c r="D27" i="4"/>
  <c r="I27" i="4" s="1"/>
  <c r="F27" i="4"/>
  <c r="A29" i="6"/>
  <c r="C25" i="7"/>
  <c r="D24" i="7"/>
  <c r="F24" i="7"/>
  <c r="I25" i="5"/>
  <c r="F26" i="5"/>
  <c r="C26" i="1"/>
  <c r="F25" i="1"/>
  <c r="A28" i="5"/>
  <c r="E27" i="5"/>
  <c r="A91" i="1"/>
  <c r="E90" i="1"/>
  <c r="E30" i="4"/>
  <c r="A31" i="4"/>
  <c r="B28" i="6"/>
  <c r="E28" i="6"/>
  <c r="D28" i="6"/>
  <c r="C28" i="6"/>
  <c r="A92" i="1" l="1"/>
  <c r="E91" i="1"/>
  <c r="A30" i="6"/>
  <c r="F27" i="5"/>
  <c r="I26" i="5"/>
  <c r="A29" i="5"/>
  <c r="E28" i="5"/>
  <c r="C29" i="4"/>
  <c r="D28" i="4"/>
  <c r="I28" i="4" s="1"/>
  <c r="F28" i="4"/>
  <c r="A27" i="7"/>
  <c r="E26" i="7"/>
  <c r="C27" i="1"/>
  <c r="D26" i="1" s="1"/>
  <c r="I26" i="1" s="1"/>
  <c r="F26" i="1"/>
  <c r="I24" i="7"/>
  <c r="C26" i="7"/>
  <c r="D25" i="7" s="1"/>
  <c r="I25" i="7" s="1"/>
  <c r="F25" i="7"/>
  <c r="C35" i="5"/>
  <c r="D34" i="5"/>
  <c r="E31" i="4"/>
  <c r="A32" i="4"/>
  <c r="D25" i="1"/>
  <c r="I25" i="1" s="1"/>
  <c r="D33" i="5"/>
  <c r="B29" i="6"/>
  <c r="D29" i="6"/>
  <c r="E29" i="6"/>
  <c r="C29" i="6"/>
  <c r="C36" i="5" l="1"/>
  <c r="D35" i="5"/>
  <c r="A28" i="7"/>
  <c r="E27" i="7"/>
  <c r="A30" i="5"/>
  <c r="E29" i="5"/>
  <c r="C27" i="7"/>
  <c r="D26" i="7" s="1"/>
  <c r="F26" i="7"/>
  <c r="A31" i="6"/>
  <c r="E32" i="4"/>
  <c r="A33" i="4"/>
  <c r="C30" i="4"/>
  <c r="D29" i="4"/>
  <c r="I29" i="4" s="1"/>
  <c r="F29" i="4"/>
  <c r="C28" i="1"/>
  <c r="D27" i="1"/>
  <c r="I27" i="1" s="1"/>
  <c r="F27" i="1"/>
  <c r="I27" i="5"/>
  <c r="F28" i="5"/>
  <c r="A93" i="1"/>
  <c r="E92" i="1"/>
  <c r="E30" i="6"/>
  <c r="B30" i="6"/>
  <c r="C30" i="6"/>
  <c r="D30" i="6"/>
  <c r="I26" i="7" l="1"/>
  <c r="A94" i="1"/>
  <c r="E93" i="1"/>
  <c r="A32" i="6"/>
  <c r="A29" i="7"/>
  <c r="E28" i="7"/>
  <c r="C31" i="4"/>
  <c r="D30" i="4" s="1"/>
  <c r="I30" i="4" s="1"/>
  <c r="F30" i="4"/>
  <c r="A34" i="4"/>
  <c r="E33" i="4"/>
  <c r="C28" i="7"/>
  <c r="F27" i="7"/>
  <c r="D27" i="7"/>
  <c r="A31" i="5"/>
  <c r="E30" i="5"/>
  <c r="C37" i="5"/>
  <c r="I28" i="5"/>
  <c r="F29" i="5"/>
  <c r="C29" i="1"/>
  <c r="D28" i="1"/>
  <c r="I28" i="1" s="1"/>
  <c r="F28" i="1"/>
  <c r="B31" i="6"/>
  <c r="C31" i="6"/>
  <c r="D31" i="6"/>
  <c r="E31" i="6"/>
  <c r="I27" i="7" l="1"/>
  <c r="A95" i="1"/>
  <c r="E94" i="1"/>
  <c r="C38" i="5"/>
  <c r="D37" i="5"/>
  <c r="C32" i="4"/>
  <c r="D31" i="4" s="1"/>
  <c r="I31" i="4" s="1"/>
  <c r="F31" i="4"/>
  <c r="F28" i="7"/>
  <c r="C29" i="7"/>
  <c r="A30" i="7"/>
  <c r="E29" i="7"/>
  <c r="C30" i="1"/>
  <c r="D29" i="1" s="1"/>
  <c r="I29" i="1" s="1"/>
  <c r="F29" i="1"/>
  <c r="A35" i="4"/>
  <c r="E34" i="4"/>
  <c r="I29" i="5"/>
  <c r="F30" i="5"/>
  <c r="D36" i="5"/>
  <c r="A32" i="5"/>
  <c r="E31" i="5"/>
  <c r="A33" i="6"/>
  <c r="B32" i="6"/>
  <c r="D32" i="6"/>
  <c r="E32" i="6"/>
  <c r="C32" i="6"/>
  <c r="F29" i="7" l="1"/>
  <c r="C30" i="7"/>
  <c r="D29" i="7"/>
  <c r="A96" i="1"/>
  <c r="E95" i="1"/>
  <c r="C31" i="1"/>
  <c r="F30" i="1"/>
  <c r="A31" i="7"/>
  <c r="E30" i="7"/>
  <c r="A36" i="4"/>
  <c r="E35" i="4"/>
  <c r="C33" i="4"/>
  <c r="F32" i="4"/>
  <c r="D32" i="4"/>
  <c r="I32" i="4" s="1"/>
  <c r="A34" i="6"/>
  <c r="I30" i="5"/>
  <c r="F31" i="5"/>
  <c r="A33" i="5"/>
  <c r="E32" i="5"/>
  <c r="D28" i="7"/>
  <c r="I28" i="7" s="1"/>
  <c r="C39" i="5"/>
  <c r="B33" i="6"/>
  <c r="C33" i="6"/>
  <c r="E33" i="6"/>
  <c r="D33" i="6"/>
  <c r="I29" i="7" l="1"/>
  <c r="E36" i="4"/>
  <c r="A37" i="4"/>
  <c r="I31" i="5"/>
  <c r="F32" i="5"/>
  <c r="A35" i="6"/>
  <c r="C31" i="7"/>
  <c r="F30" i="7"/>
  <c r="C40" i="5"/>
  <c r="A32" i="7"/>
  <c r="E31" i="7"/>
  <c r="C34" i="4"/>
  <c r="F33" i="4"/>
  <c r="C32" i="1"/>
  <c r="D31" i="1"/>
  <c r="I31" i="1" s="1"/>
  <c r="F31" i="1"/>
  <c r="A34" i="5"/>
  <c r="E33" i="5"/>
  <c r="D38" i="5"/>
  <c r="D30" i="1"/>
  <c r="I30" i="1" s="1"/>
  <c r="A97" i="1"/>
  <c r="E96" i="1"/>
  <c r="D34" i="6"/>
  <c r="C34" i="6"/>
  <c r="E34" i="6"/>
  <c r="B34" i="6"/>
  <c r="E34" i="5" l="1"/>
  <c r="A35" i="5"/>
  <c r="A33" i="7"/>
  <c r="E32" i="7"/>
  <c r="C32" i="7"/>
  <c r="F31" i="7"/>
  <c r="D31" i="7"/>
  <c r="I31" i="7" s="1"/>
  <c r="C41" i="5"/>
  <c r="D39" i="5"/>
  <c r="D30" i="7"/>
  <c r="I30" i="7" s="1"/>
  <c r="C35" i="4"/>
  <c r="D34" i="4" s="1"/>
  <c r="I34" i="4" s="1"/>
  <c r="F34" i="4"/>
  <c r="A38" i="4"/>
  <c r="E37" i="4"/>
  <c r="F33" i="5"/>
  <c r="I32" i="5"/>
  <c r="D32" i="1"/>
  <c r="I32" i="1" s="1"/>
  <c r="F32" i="1"/>
  <c r="C33" i="1"/>
  <c r="A36" i="6"/>
  <c r="A98" i="1"/>
  <c r="E97" i="1"/>
  <c r="D33" i="4"/>
  <c r="I33" i="4" s="1"/>
  <c r="C35" i="6"/>
  <c r="E35" i="6"/>
  <c r="D35" i="6"/>
  <c r="B35" i="6"/>
  <c r="A37" i="6" l="1"/>
  <c r="A99" i="1"/>
  <c r="E98" i="1"/>
  <c r="D41" i="5"/>
  <c r="C42" i="5"/>
  <c r="C34" i="1"/>
  <c r="F33" i="1"/>
  <c r="A34" i="7"/>
  <c r="E33" i="7"/>
  <c r="F34" i="5"/>
  <c r="I33" i="5"/>
  <c r="A39" i="4"/>
  <c r="E38" i="4"/>
  <c r="C36" i="4"/>
  <c r="D35" i="4" s="1"/>
  <c r="I35" i="4" s="1"/>
  <c r="F35" i="4"/>
  <c r="C33" i="7"/>
  <c r="F32" i="7"/>
  <c r="D40" i="5"/>
  <c r="A36" i="5"/>
  <c r="E35" i="5"/>
  <c r="B36" i="6"/>
  <c r="D36" i="6"/>
  <c r="C36" i="6"/>
  <c r="E36" i="6"/>
  <c r="C34" i="7" l="1"/>
  <c r="F33" i="7"/>
  <c r="D33" i="7"/>
  <c r="A35" i="7"/>
  <c r="E34" i="7"/>
  <c r="A100" i="1"/>
  <c r="E99" i="1"/>
  <c r="C37" i="4"/>
  <c r="F36" i="4"/>
  <c r="D36" i="4"/>
  <c r="I36" i="4" s="1"/>
  <c r="C35" i="1"/>
  <c r="F34" i="1"/>
  <c r="D34" i="1"/>
  <c r="I34" i="1" s="1"/>
  <c r="A40" i="4"/>
  <c r="E39" i="4"/>
  <c r="D33" i="1"/>
  <c r="I33" i="1" s="1"/>
  <c r="F35" i="5"/>
  <c r="I34" i="5"/>
  <c r="A37" i="5"/>
  <c r="E36" i="5"/>
  <c r="D32" i="7"/>
  <c r="I32" i="7" s="1"/>
  <c r="C43" i="5"/>
  <c r="D42" i="5" s="1"/>
  <c r="A38" i="6"/>
  <c r="C37" i="6"/>
  <c r="D37" i="6"/>
  <c r="E37" i="6"/>
  <c r="B37" i="6"/>
  <c r="A101" i="1" l="1"/>
  <c r="E100" i="1"/>
  <c r="E40" i="4"/>
  <c r="A41" i="4"/>
  <c r="C36" i="1"/>
  <c r="D35" i="1" s="1"/>
  <c r="I35" i="1" s="1"/>
  <c r="F35" i="1"/>
  <c r="A36" i="7"/>
  <c r="E35" i="7"/>
  <c r="C44" i="5"/>
  <c r="D43" i="5"/>
  <c r="F36" i="5"/>
  <c r="I35" i="5"/>
  <c r="I33" i="7"/>
  <c r="A38" i="5"/>
  <c r="E37" i="5"/>
  <c r="A39" i="6"/>
  <c r="C38" i="4"/>
  <c r="D37" i="4" s="1"/>
  <c r="I37" i="4" s="1"/>
  <c r="F37" i="4"/>
  <c r="C35" i="7"/>
  <c r="F34" i="7"/>
  <c r="D34" i="7"/>
  <c r="E38" i="6"/>
  <c r="D38" i="6"/>
  <c r="C38" i="6"/>
  <c r="B38" i="6"/>
  <c r="I34" i="7" l="1"/>
  <c r="A102" i="1"/>
  <c r="E101" i="1"/>
  <c r="A37" i="7"/>
  <c r="E36" i="7"/>
  <c r="C36" i="7"/>
  <c r="F35" i="7"/>
  <c r="D35" i="7"/>
  <c r="I35" i="7" s="1"/>
  <c r="A40" i="6"/>
  <c r="C45" i="5"/>
  <c r="D44" i="5" s="1"/>
  <c r="F37" i="5"/>
  <c r="I36" i="5"/>
  <c r="C39" i="4"/>
  <c r="F38" i="4"/>
  <c r="D38" i="4"/>
  <c r="I38" i="4" s="1"/>
  <c r="A39" i="5"/>
  <c r="E38" i="5"/>
  <c r="C37" i="1"/>
  <c r="D36" i="1"/>
  <c r="I36" i="1" s="1"/>
  <c r="F36" i="1"/>
  <c r="E41" i="4"/>
  <c r="A42" i="4"/>
  <c r="E39" i="6"/>
  <c r="C39" i="6"/>
  <c r="B39" i="6"/>
  <c r="D39" i="6"/>
  <c r="A103" i="1" l="1"/>
  <c r="E102" i="1"/>
  <c r="C38" i="1"/>
  <c r="D37" i="1"/>
  <c r="I37" i="1" s="1"/>
  <c r="F37" i="1"/>
  <c r="F38" i="5"/>
  <c r="I37" i="5"/>
  <c r="C46" i="5"/>
  <c r="D45" i="5" s="1"/>
  <c r="A41" i="6"/>
  <c r="A40" i="5"/>
  <c r="E39" i="5"/>
  <c r="F36" i="7"/>
  <c r="C37" i="7"/>
  <c r="D36" i="7"/>
  <c r="E42" i="4"/>
  <c r="A43" i="4"/>
  <c r="A38" i="7"/>
  <c r="E37" i="7"/>
  <c r="C40" i="4"/>
  <c r="D39" i="4"/>
  <c r="I39" i="4" s="1"/>
  <c r="F39" i="4"/>
  <c r="B40" i="6"/>
  <c r="C40" i="6"/>
  <c r="D40" i="6"/>
  <c r="E40" i="6"/>
  <c r="I36" i="7" l="1"/>
  <c r="C38" i="7"/>
  <c r="F37" i="7"/>
  <c r="A39" i="7"/>
  <c r="E38" i="7"/>
  <c r="C47" i="5"/>
  <c r="D46" i="5"/>
  <c r="A104" i="1"/>
  <c r="E103" i="1"/>
  <c r="A42" i="6"/>
  <c r="C41" i="4"/>
  <c r="F40" i="4"/>
  <c r="F39" i="5"/>
  <c r="I38" i="5"/>
  <c r="A41" i="5"/>
  <c r="E40" i="5"/>
  <c r="E43" i="4"/>
  <c r="A44" i="4"/>
  <c r="C39" i="1"/>
  <c r="F38" i="1"/>
  <c r="E41" i="6"/>
  <c r="D41" i="6"/>
  <c r="B41" i="6"/>
  <c r="C41" i="6"/>
  <c r="C40" i="1" l="1"/>
  <c r="F39" i="1"/>
  <c r="C48" i="5"/>
  <c r="A42" i="5"/>
  <c r="E41" i="5"/>
  <c r="A43" i="6"/>
  <c r="C42" i="4"/>
  <c r="D41" i="4"/>
  <c r="I41" i="4" s="1"/>
  <c r="F41" i="4"/>
  <c r="F40" i="5"/>
  <c r="I39" i="5"/>
  <c r="D40" i="4"/>
  <c r="I40" i="4" s="1"/>
  <c r="C39" i="7"/>
  <c r="F38" i="7"/>
  <c r="D38" i="1"/>
  <c r="I38" i="1" s="1"/>
  <c r="E44" i="4"/>
  <c r="A45" i="4"/>
  <c r="A40" i="7"/>
  <c r="E39" i="7"/>
  <c r="A105" i="1"/>
  <c r="E104" i="1"/>
  <c r="D37" i="7"/>
  <c r="I37" i="7" s="1"/>
  <c r="E42" i="6"/>
  <c r="C42" i="6"/>
  <c r="B42" i="6"/>
  <c r="D42" i="6"/>
  <c r="A106" i="1" l="1"/>
  <c r="E105" i="1"/>
  <c r="C40" i="7"/>
  <c r="F39" i="7"/>
  <c r="D39" i="7"/>
  <c r="A44" i="6"/>
  <c r="D40" i="1"/>
  <c r="I40" i="1" s="1"/>
  <c r="F40" i="1"/>
  <c r="C41" i="1"/>
  <c r="F41" i="5"/>
  <c r="I40" i="5"/>
  <c r="A41" i="7"/>
  <c r="E40" i="7"/>
  <c r="E42" i="5"/>
  <c r="A43" i="5"/>
  <c r="E45" i="4"/>
  <c r="A46" i="4"/>
  <c r="C43" i="4"/>
  <c r="D42" i="4"/>
  <c r="I42" i="4" s="1"/>
  <c r="F42" i="4"/>
  <c r="C49" i="5"/>
  <c r="D48" i="5"/>
  <c r="D47" i="5"/>
  <c r="D38" i="7"/>
  <c r="I38" i="7" s="1"/>
  <c r="D39" i="1"/>
  <c r="I39" i="1" s="1"/>
  <c r="B43" i="6"/>
  <c r="D43" i="6"/>
  <c r="C43" i="6"/>
  <c r="E43" i="6"/>
  <c r="A45" i="6" l="1"/>
  <c r="A44" i="5"/>
  <c r="E43" i="5"/>
  <c r="I39" i="7"/>
  <c r="F42" i="5"/>
  <c r="I41" i="5"/>
  <c r="A42" i="7"/>
  <c r="E41" i="7"/>
  <c r="C44" i="4"/>
  <c r="D43" i="4" s="1"/>
  <c r="I43" i="4" s="1"/>
  <c r="F43" i="4"/>
  <c r="C41" i="7"/>
  <c r="F40" i="7"/>
  <c r="D40" i="7"/>
  <c r="E46" i="4"/>
  <c r="A47" i="4"/>
  <c r="C42" i="1"/>
  <c r="D41" i="1" s="1"/>
  <c r="I41" i="1" s="1"/>
  <c r="F41" i="1"/>
  <c r="C50" i="5"/>
  <c r="D49" i="5" s="1"/>
  <c r="A107" i="1"/>
  <c r="E106" i="1"/>
  <c r="C44" i="6"/>
  <c r="B44" i="6"/>
  <c r="E44" i="6"/>
  <c r="D44" i="6"/>
  <c r="I40" i="7" l="1"/>
  <c r="E42" i="7"/>
  <c r="A43" i="7"/>
  <c r="C42" i="7"/>
  <c r="F41" i="7"/>
  <c r="F43" i="5"/>
  <c r="I42" i="5"/>
  <c r="A45" i="5"/>
  <c r="E44" i="5"/>
  <c r="C51" i="5"/>
  <c r="D50" i="5"/>
  <c r="C43" i="1"/>
  <c r="F42" i="1"/>
  <c r="D42" i="1"/>
  <c r="I42" i="1" s="1"/>
  <c r="A108" i="1"/>
  <c r="E107" i="1"/>
  <c r="C45" i="4"/>
  <c r="D44" i="4"/>
  <c r="I44" i="4" s="1"/>
  <c r="F44" i="4"/>
  <c r="E47" i="4"/>
  <c r="A48" i="4"/>
  <c r="A46" i="6"/>
  <c r="D45" i="6"/>
  <c r="B45" i="6"/>
  <c r="C45" i="6"/>
  <c r="E45" i="6"/>
  <c r="C43" i="7" l="1"/>
  <c r="F42" i="7"/>
  <c r="C46" i="4"/>
  <c r="F45" i="4"/>
  <c r="D45" i="4"/>
  <c r="I45" i="4" s="1"/>
  <c r="C52" i="5"/>
  <c r="D51" i="5" s="1"/>
  <c r="I43" i="5"/>
  <c r="F44" i="5"/>
  <c r="E48" i="4"/>
  <c r="A49" i="4"/>
  <c r="A47" i="6"/>
  <c r="A109" i="1"/>
  <c r="E108" i="1"/>
  <c r="A46" i="5"/>
  <c r="E45" i="5"/>
  <c r="C44" i="1"/>
  <c r="D43" i="1"/>
  <c r="I43" i="1" s="1"/>
  <c r="F43" i="1"/>
  <c r="D41" i="7"/>
  <c r="I41" i="7" s="1"/>
  <c r="A44" i="7"/>
  <c r="E43" i="7"/>
  <c r="B46" i="6"/>
  <c r="E46" i="6"/>
  <c r="D46" i="6"/>
  <c r="C46" i="6"/>
  <c r="A45" i="7" l="1"/>
  <c r="E44" i="7"/>
  <c r="C44" i="7"/>
  <c r="F43" i="7"/>
  <c r="D43" i="7"/>
  <c r="I43" i="7" s="1"/>
  <c r="C53" i="5"/>
  <c r="D52" i="5" s="1"/>
  <c r="A110" i="1"/>
  <c r="E109" i="1"/>
  <c r="C45" i="1"/>
  <c r="D44" i="1"/>
  <c r="I44" i="1" s="1"/>
  <c r="F44" i="1"/>
  <c r="A50" i="4"/>
  <c r="E49" i="4"/>
  <c r="F45" i="5"/>
  <c r="I44" i="5"/>
  <c r="A48" i="6"/>
  <c r="C47" i="4"/>
  <c r="D46" i="4" s="1"/>
  <c r="I46" i="4" s="1"/>
  <c r="F46" i="4"/>
  <c r="A47" i="5"/>
  <c r="E46" i="5"/>
  <c r="D42" i="7"/>
  <c r="I42" i="7" s="1"/>
  <c r="B47" i="6"/>
  <c r="E47" i="6"/>
  <c r="C47" i="6"/>
  <c r="D47" i="6"/>
  <c r="A46" i="7" l="1"/>
  <c r="E45" i="7"/>
  <c r="E47" i="5"/>
  <c r="A48" i="5"/>
  <c r="A49" i="6"/>
  <c r="I45" i="5"/>
  <c r="F46" i="5"/>
  <c r="C46" i="1"/>
  <c r="D45" i="1" s="1"/>
  <c r="I45" i="1" s="1"/>
  <c r="F45" i="1"/>
  <c r="A111" i="1"/>
  <c r="E110" i="1"/>
  <c r="C54" i="5"/>
  <c r="C48" i="4"/>
  <c r="D47" i="4" s="1"/>
  <c r="I47" i="4" s="1"/>
  <c r="F47" i="4"/>
  <c r="E50" i="4"/>
  <c r="A51" i="4"/>
  <c r="F44" i="7"/>
  <c r="C45" i="7"/>
  <c r="C48" i="6"/>
  <c r="B48" i="6"/>
  <c r="D48" i="6"/>
  <c r="E48" i="6"/>
  <c r="C55" i="5" l="1"/>
  <c r="D54" i="5"/>
  <c r="A50" i="6"/>
  <c r="A112" i="1"/>
  <c r="E111" i="1"/>
  <c r="F47" i="5"/>
  <c r="I46" i="5"/>
  <c r="C46" i="7"/>
  <c r="D45" i="7" s="1"/>
  <c r="I45" i="7" s="1"/>
  <c r="F45" i="7"/>
  <c r="A52" i="4"/>
  <c r="E51" i="4"/>
  <c r="A49" i="5"/>
  <c r="E48" i="5"/>
  <c r="C49" i="4"/>
  <c r="D48" i="4"/>
  <c r="I48" i="4" s="1"/>
  <c r="F48" i="4"/>
  <c r="C47" i="1"/>
  <c r="F46" i="1"/>
  <c r="A47" i="7"/>
  <c r="E46" i="7"/>
  <c r="D53" i="5"/>
  <c r="D44" i="7"/>
  <c r="I44" i="7" s="1"/>
  <c r="D49" i="6"/>
  <c r="E49" i="6"/>
  <c r="B49" i="6"/>
  <c r="C49" i="6"/>
  <c r="F48" i="5" l="1"/>
  <c r="I47" i="5"/>
  <c r="A48" i="7"/>
  <c r="E47" i="7"/>
  <c r="E49" i="5"/>
  <c r="A50" i="5"/>
  <c r="C48" i="1"/>
  <c r="D47" i="1"/>
  <c r="I47" i="1" s="1"/>
  <c r="F47" i="1"/>
  <c r="D46" i="1"/>
  <c r="I46" i="1" s="1"/>
  <c r="A51" i="6"/>
  <c r="E52" i="4"/>
  <c r="A53" i="4"/>
  <c r="F46" i="7"/>
  <c r="C47" i="7"/>
  <c r="F49" i="4"/>
  <c r="C50" i="4"/>
  <c r="A113" i="1"/>
  <c r="E112" i="1"/>
  <c r="C56" i="5"/>
  <c r="D50" i="6"/>
  <c r="C50" i="6"/>
  <c r="E50" i="6"/>
  <c r="B50" i="6"/>
  <c r="C49" i="1" l="1"/>
  <c r="F48" i="1"/>
  <c r="I48" i="5"/>
  <c r="F49" i="5"/>
  <c r="E53" i="4"/>
  <c r="A54" i="4"/>
  <c r="A49" i="7"/>
  <c r="E48" i="7"/>
  <c r="A114" i="1"/>
  <c r="E113" i="1"/>
  <c r="C51" i="4"/>
  <c r="D50" i="4" s="1"/>
  <c r="I50" i="4" s="1"/>
  <c r="F50" i="4"/>
  <c r="D49" i="4"/>
  <c r="I49" i="4" s="1"/>
  <c r="C57" i="5"/>
  <c r="D56" i="5"/>
  <c r="A52" i="6"/>
  <c r="E50" i="5"/>
  <c r="A51" i="5"/>
  <c r="F47" i="7"/>
  <c r="C48" i="7"/>
  <c r="D47" i="7"/>
  <c r="D55" i="5"/>
  <c r="D46" i="7"/>
  <c r="I46" i="7" s="1"/>
  <c r="E51" i="6"/>
  <c r="B51" i="6"/>
  <c r="D51" i="6"/>
  <c r="C51" i="6"/>
  <c r="I47" i="7" l="1"/>
  <c r="A115" i="1"/>
  <c r="E114" i="1"/>
  <c r="D49" i="1"/>
  <c r="I49" i="1" s="1"/>
  <c r="C50" i="1"/>
  <c r="F49" i="1"/>
  <c r="A53" i="6"/>
  <c r="F48" i="7"/>
  <c r="C49" i="7"/>
  <c r="D48" i="7" s="1"/>
  <c r="C58" i="5"/>
  <c r="D57" i="5" s="1"/>
  <c r="A50" i="7"/>
  <c r="E49" i="7"/>
  <c r="E54" i="4"/>
  <c r="A55" i="4"/>
  <c r="A52" i="5"/>
  <c r="E51" i="5"/>
  <c r="I49" i="5"/>
  <c r="F50" i="5"/>
  <c r="C52" i="4"/>
  <c r="F51" i="4"/>
  <c r="D51" i="4"/>
  <c r="I51" i="4" s="1"/>
  <c r="D48" i="1"/>
  <c r="I48" i="1" s="1"/>
  <c r="D52" i="6"/>
  <c r="E52" i="6"/>
  <c r="C52" i="6"/>
  <c r="B52" i="6"/>
  <c r="I48" i="7" l="1"/>
  <c r="I50" i="5"/>
  <c r="F51" i="5"/>
  <c r="A53" i="5"/>
  <c r="E52" i="5"/>
  <c r="A54" i="6"/>
  <c r="E55" i="4"/>
  <c r="A56" i="4"/>
  <c r="C50" i="7"/>
  <c r="F49" i="7"/>
  <c r="C51" i="1"/>
  <c r="D50" i="1" s="1"/>
  <c r="I50" i="1" s="1"/>
  <c r="F50" i="1"/>
  <c r="C59" i="5"/>
  <c r="D58" i="5"/>
  <c r="C53" i="4"/>
  <c r="D52" i="4"/>
  <c r="I52" i="4" s="1"/>
  <c r="F52" i="4"/>
  <c r="A51" i="7"/>
  <c r="E50" i="7"/>
  <c r="A116" i="1"/>
  <c r="E115" i="1"/>
  <c r="C53" i="6"/>
  <c r="E53" i="6"/>
  <c r="B53" i="6"/>
  <c r="D53" i="6"/>
  <c r="C51" i="7" l="1"/>
  <c r="F50" i="7"/>
  <c r="C60" i="5"/>
  <c r="D59" i="5" s="1"/>
  <c r="A55" i="6"/>
  <c r="E56" i="4"/>
  <c r="A57" i="4"/>
  <c r="A117" i="1"/>
  <c r="E116" i="1"/>
  <c r="E51" i="7"/>
  <c r="A52" i="7"/>
  <c r="C52" i="1"/>
  <c r="D51" i="1"/>
  <c r="I51" i="1" s="1"/>
  <c r="F51" i="1"/>
  <c r="I51" i="5"/>
  <c r="F52" i="5"/>
  <c r="D49" i="7"/>
  <c r="I49" i="7" s="1"/>
  <c r="A54" i="5"/>
  <c r="E53" i="5"/>
  <c r="C54" i="4"/>
  <c r="D53" i="4"/>
  <c r="I53" i="4" s="1"/>
  <c r="F53" i="4"/>
  <c r="B54" i="6"/>
  <c r="C54" i="6"/>
  <c r="E54" i="6"/>
  <c r="D54" i="6"/>
  <c r="A118" i="1" l="1"/>
  <c r="E117" i="1"/>
  <c r="A56" i="6"/>
  <c r="A58" i="4"/>
  <c r="E57" i="4"/>
  <c r="I52" i="5"/>
  <c r="F53" i="5"/>
  <c r="A53" i="7"/>
  <c r="E52" i="7"/>
  <c r="C52" i="7"/>
  <c r="F51" i="7"/>
  <c r="D51" i="7"/>
  <c r="A55" i="5"/>
  <c r="E54" i="5"/>
  <c r="C61" i="5"/>
  <c r="D60" i="5"/>
  <c r="D50" i="7"/>
  <c r="I50" i="7" s="1"/>
  <c r="C55" i="4"/>
  <c r="D54" i="4" s="1"/>
  <c r="I54" i="4" s="1"/>
  <c r="F54" i="4"/>
  <c r="C53" i="1"/>
  <c r="D52" i="1"/>
  <c r="I52" i="1" s="1"/>
  <c r="F52" i="1"/>
  <c r="B55" i="6"/>
  <c r="C55" i="6"/>
  <c r="E55" i="6"/>
  <c r="D55" i="6"/>
  <c r="I51" i="7" l="1"/>
  <c r="A119" i="1"/>
  <c r="E118" i="1"/>
  <c r="C62" i="5"/>
  <c r="C54" i="1"/>
  <c r="D53" i="1"/>
  <c r="I53" i="1" s="1"/>
  <c r="F53" i="1"/>
  <c r="F54" i="5"/>
  <c r="I53" i="5"/>
  <c r="A56" i="5"/>
  <c r="E55" i="5"/>
  <c r="E58" i="4"/>
  <c r="A59" i="4"/>
  <c r="A54" i="7"/>
  <c r="E53" i="7"/>
  <c r="C56" i="4"/>
  <c r="D55" i="4" s="1"/>
  <c r="I55" i="4" s="1"/>
  <c r="F55" i="4"/>
  <c r="C53" i="7"/>
  <c r="F52" i="7"/>
  <c r="A57" i="6"/>
  <c r="E56" i="6"/>
  <c r="D56" i="6"/>
  <c r="B56" i="6"/>
  <c r="C56" i="6"/>
  <c r="F53" i="7" l="1"/>
  <c r="C54" i="7"/>
  <c r="D53" i="7"/>
  <c r="I54" i="5"/>
  <c r="F55" i="5"/>
  <c r="A57" i="5"/>
  <c r="E56" i="5"/>
  <c r="A120" i="1"/>
  <c r="E119" i="1"/>
  <c r="C57" i="4"/>
  <c r="D56" i="4"/>
  <c r="I56" i="4" s="1"/>
  <c r="F56" i="4"/>
  <c r="A58" i="6"/>
  <c r="A55" i="7"/>
  <c r="E54" i="7"/>
  <c r="D52" i="7"/>
  <c r="I52" i="7" s="1"/>
  <c r="E59" i="4"/>
  <c r="A60" i="4"/>
  <c r="C63" i="5"/>
  <c r="D62" i="5"/>
  <c r="C55" i="1"/>
  <c r="F54" i="1"/>
  <c r="D61" i="5"/>
  <c r="E57" i="6"/>
  <c r="D57" i="6"/>
  <c r="C57" i="6"/>
  <c r="B57" i="6"/>
  <c r="C56" i="1" l="1"/>
  <c r="D55" i="1"/>
  <c r="I55" i="1" s="1"/>
  <c r="F55" i="1"/>
  <c r="F57" i="4"/>
  <c r="D57" i="4"/>
  <c r="I57" i="4" s="1"/>
  <c r="C58" i="4"/>
  <c r="F56" i="5"/>
  <c r="I55" i="5"/>
  <c r="A56" i="7"/>
  <c r="E55" i="7"/>
  <c r="A121" i="1"/>
  <c r="E120" i="1"/>
  <c r="D54" i="1"/>
  <c r="I54" i="1" s="1"/>
  <c r="E60" i="4"/>
  <c r="A61" i="4"/>
  <c r="I53" i="7"/>
  <c r="A59" i="6"/>
  <c r="C55" i="7"/>
  <c r="D54" i="7" s="1"/>
  <c r="I54" i="7" s="1"/>
  <c r="F54" i="7"/>
  <c r="A58" i="5"/>
  <c r="E57" i="5"/>
  <c r="C64" i="5"/>
  <c r="D63" i="5" s="1"/>
  <c r="B58" i="6"/>
  <c r="E58" i="6"/>
  <c r="D58" i="6"/>
  <c r="C58" i="6"/>
  <c r="F57" i="5" l="1"/>
  <c r="I56" i="5"/>
  <c r="E58" i="5"/>
  <c r="A59" i="5"/>
  <c r="A62" i="4"/>
  <c r="E61" i="4"/>
  <c r="F55" i="7"/>
  <c r="C56" i="7"/>
  <c r="C59" i="4"/>
  <c r="D58" i="4"/>
  <c r="I58" i="4" s="1"/>
  <c r="F58" i="4"/>
  <c r="A122" i="1"/>
  <c r="E121" i="1"/>
  <c r="C65" i="5"/>
  <c r="A60" i="6"/>
  <c r="A57" i="7"/>
  <c r="E56" i="7"/>
  <c r="C57" i="1"/>
  <c r="F56" i="1"/>
  <c r="B59" i="6"/>
  <c r="C59" i="6"/>
  <c r="D59" i="6"/>
  <c r="E59" i="6"/>
  <c r="A123" i="1" l="1"/>
  <c r="E122" i="1"/>
  <c r="E62" i="4"/>
  <c r="A63" i="4"/>
  <c r="A60" i="5"/>
  <c r="E59" i="5"/>
  <c r="C58" i="1"/>
  <c r="F57" i="1"/>
  <c r="D65" i="5"/>
  <c r="C66" i="5"/>
  <c r="D56" i="1"/>
  <c r="I56" i="1" s="1"/>
  <c r="A58" i="7"/>
  <c r="E57" i="7"/>
  <c r="F58" i="5"/>
  <c r="I57" i="5"/>
  <c r="A61" i="6"/>
  <c r="C60" i="4"/>
  <c r="D59" i="4" s="1"/>
  <c r="I59" i="4" s="1"/>
  <c r="F59" i="4"/>
  <c r="D64" i="5"/>
  <c r="F56" i="7"/>
  <c r="C57" i="7"/>
  <c r="D56" i="7"/>
  <c r="D55" i="7"/>
  <c r="I55" i="7" s="1"/>
  <c r="C60" i="6"/>
  <c r="D60" i="6"/>
  <c r="E60" i="6"/>
  <c r="B60" i="6"/>
  <c r="I56" i="7" l="1"/>
  <c r="C58" i="7"/>
  <c r="F57" i="7"/>
  <c r="C59" i="1"/>
  <c r="F58" i="1"/>
  <c r="D58" i="1"/>
  <c r="I58" i="1" s="1"/>
  <c r="D57" i="1"/>
  <c r="I57" i="1" s="1"/>
  <c r="A62" i="6"/>
  <c r="A59" i="7"/>
  <c r="E58" i="7"/>
  <c r="F59" i="5"/>
  <c r="I58" i="5"/>
  <c r="A61" i="5"/>
  <c r="E60" i="5"/>
  <c r="C61" i="4"/>
  <c r="F60" i="4"/>
  <c r="E63" i="4"/>
  <c r="A64" i="4"/>
  <c r="C67" i="5"/>
  <c r="D66" i="5"/>
  <c r="A124" i="1"/>
  <c r="E123" i="1"/>
  <c r="B61" i="6"/>
  <c r="C61" i="6"/>
  <c r="D61" i="6"/>
  <c r="E61" i="6"/>
  <c r="A125" i="1" l="1"/>
  <c r="E124" i="1"/>
  <c r="A63" i="6"/>
  <c r="F58" i="7"/>
  <c r="C59" i="7"/>
  <c r="C68" i="5"/>
  <c r="D67" i="5"/>
  <c r="A62" i="5"/>
  <c r="E61" i="5"/>
  <c r="C62" i="4"/>
  <c r="F61" i="4"/>
  <c r="F60" i="5"/>
  <c r="I59" i="5"/>
  <c r="A65" i="4"/>
  <c r="E64" i="4"/>
  <c r="C60" i="1"/>
  <c r="D59" i="1"/>
  <c r="I59" i="1" s="1"/>
  <c r="F59" i="1"/>
  <c r="D60" i="4"/>
  <c r="I60" i="4" s="1"/>
  <c r="A60" i="7"/>
  <c r="E59" i="7"/>
  <c r="D57" i="7"/>
  <c r="I57" i="7" s="1"/>
  <c r="C62" i="6"/>
  <c r="E62" i="6"/>
  <c r="D62" i="6"/>
  <c r="B62" i="6"/>
  <c r="C63" i="4" l="1"/>
  <c r="D62" i="4" s="1"/>
  <c r="I62" i="4" s="1"/>
  <c r="F62" i="4"/>
  <c r="D61" i="4"/>
  <c r="I61" i="4" s="1"/>
  <c r="C61" i="1"/>
  <c r="D60" i="1" s="1"/>
  <c r="I60" i="1" s="1"/>
  <c r="F60" i="1"/>
  <c r="A63" i="5"/>
  <c r="E62" i="5"/>
  <c r="A64" i="6"/>
  <c r="E65" i="4"/>
  <c r="A66" i="4"/>
  <c r="C60" i="7"/>
  <c r="F59" i="7"/>
  <c r="D59" i="7"/>
  <c r="F61" i="5"/>
  <c r="I60" i="5"/>
  <c r="D58" i="7"/>
  <c r="I58" i="7" s="1"/>
  <c r="E60" i="7"/>
  <c r="A61" i="7"/>
  <c r="C69" i="5"/>
  <c r="D68" i="5"/>
  <c r="A126" i="1"/>
  <c r="E125" i="1"/>
  <c r="E63" i="6"/>
  <c r="B63" i="6"/>
  <c r="C63" i="6"/>
  <c r="D63" i="6"/>
  <c r="I59" i="7" l="1"/>
  <c r="A65" i="6"/>
  <c r="A62" i="7"/>
  <c r="E61" i="7"/>
  <c r="C62" i="1"/>
  <c r="D61" i="1"/>
  <c r="I61" i="1" s="1"/>
  <c r="F61" i="1"/>
  <c r="C70" i="5"/>
  <c r="D69" i="5"/>
  <c r="E63" i="5"/>
  <c r="A64" i="5"/>
  <c r="A67" i="4"/>
  <c r="E66" i="4"/>
  <c r="C61" i="7"/>
  <c r="F60" i="7"/>
  <c r="D60" i="7"/>
  <c r="I60" i="7" s="1"/>
  <c r="A127" i="1"/>
  <c r="E126" i="1"/>
  <c r="F62" i="5"/>
  <c r="I61" i="5"/>
  <c r="C64" i="4"/>
  <c r="D63" i="4"/>
  <c r="I63" i="4" s="1"/>
  <c r="F63" i="4"/>
  <c r="C64" i="6"/>
  <c r="B64" i="6"/>
  <c r="E64" i="6"/>
  <c r="D64" i="6"/>
  <c r="C63" i="1" l="1"/>
  <c r="D62" i="1" s="1"/>
  <c r="I62" i="1" s="1"/>
  <c r="F62" i="1"/>
  <c r="A66" i="6"/>
  <c r="A65" i="5"/>
  <c r="E64" i="5"/>
  <c r="C65" i="4"/>
  <c r="F64" i="4"/>
  <c r="D64" i="4"/>
  <c r="I64" i="4" s="1"/>
  <c r="F63" i="5"/>
  <c r="I62" i="5"/>
  <c r="A63" i="7"/>
  <c r="E62" i="7"/>
  <c r="E67" i="4"/>
  <c r="A68" i="4"/>
  <c r="A128" i="1"/>
  <c r="E127" i="1"/>
  <c r="C71" i="5"/>
  <c r="D70" i="5"/>
  <c r="C62" i="7"/>
  <c r="F61" i="7"/>
  <c r="D61" i="7"/>
  <c r="I61" i="7" s="1"/>
  <c r="D65" i="6"/>
  <c r="E65" i="6"/>
  <c r="C65" i="6"/>
  <c r="B65" i="6"/>
  <c r="A69" i="4" l="1"/>
  <c r="E68" i="4"/>
  <c r="C66" i="4"/>
  <c r="D65" i="4"/>
  <c r="I65" i="4" s="1"/>
  <c r="F65" i="4"/>
  <c r="F62" i="7"/>
  <c r="C63" i="7"/>
  <c r="D62" i="7"/>
  <c r="I63" i="5"/>
  <c r="F64" i="5"/>
  <c r="E65" i="5"/>
  <c r="A66" i="5"/>
  <c r="C64" i="1"/>
  <c r="D63" i="1"/>
  <c r="I63" i="1" s="1"/>
  <c r="F63" i="1"/>
  <c r="A129" i="1"/>
  <c r="E128" i="1"/>
  <c r="A64" i="7"/>
  <c r="E63" i="7"/>
  <c r="D71" i="5"/>
  <c r="C72" i="5"/>
  <c r="A67" i="6"/>
  <c r="C66" i="6"/>
  <c r="E66" i="6"/>
  <c r="D66" i="6"/>
  <c r="B66" i="6"/>
  <c r="I62" i="7" l="1"/>
  <c r="A65" i="7"/>
  <c r="E64" i="7"/>
  <c r="A68" i="6"/>
  <c r="E66" i="5"/>
  <c r="A67" i="5"/>
  <c r="F65" i="5"/>
  <c r="I64" i="5"/>
  <c r="C73" i="5"/>
  <c r="D72" i="5" s="1"/>
  <c r="C67" i="4"/>
  <c r="D66" i="4" s="1"/>
  <c r="I66" i="4" s="1"/>
  <c r="F66" i="4"/>
  <c r="C64" i="7"/>
  <c r="F63" i="7"/>
  <c r="D63" i="7"/>
  <c r="D64" i="1"/>
  <c r="I64" i="1" s="1"/>
  <c r="C65" i="1"/>
  <c r="F64" i="1"/>
  <c r="A130" i="1"/>
  <c r="E129" i="1"/>
  <c r="E69" i="4"/>
  <c r="A70" i="4"/>
  <c r="C67" i="6"/>
  <c r="E67" i="6"/>
  <c r="B67" i="6"/>
  <c r="D67" i="6"/>
  <c r="E70" i="4" l="1"/>
  <c r="A71" i="4"/>
  <c r="I65" i="5"/>
  <c r="F66" i="5"/>
  <c r="F64" i="7"/>
  <c r="C65" i="7"/>
  <c r="D64" i="7"/>
  <c r="I64" i="7" s="1"/>
  <c r="I63" i="7"/>
  <c r="A131" i="1"/>
  <c r="E131" i="1" s="1"/>
  <c r="E130" i="1"/>
  <c r="A69" i="6"/>
  <c r="C74" i="5"/>
  <c r="C68" i="4"/>
  <c r="F67" i="4"/>
  <c r="D67" i="4"/>
  <c r="I67" i="4" s="1"/>
  <c r="C66" i="1"/>
  <c r="F65" i="1"/>
  <c r="A68" i="5"/>
  <c r="E67" i="5"/>
  <c r="A66" i="7"/>
  <c r="E65" i="7"/>
  <c r="C68" i="6"/>
  <c r="D68" i="6"/>
  <c r="E68" i="6"/>
  <c r="B68" i="6"/>
  <c r="I66" i="5" l="1"/>
  <c r="F67" i="5"/>
  <c r="C75" i="5"/>
  <c r="D74" i="5"/>
  <c r="C66" i="7"/>
  <c r="F65" i="7"/>
  <c r="D65" i="7"/>
  <c r="D73" i="5"/>
  <c r="E71" i="4"/>
  <c r="A72" i="4"/>
  <c r="A69" i="5"/>
  <c r="E68" i="5"/>
  <c r="C67" i="1"/>
  <c r="F66" i="1"/>
  <c r="D65" i="1"/>
  <c r="I65" i="1" s="1"/>
  <c r="A67" i="7"/>
  <c r="E66" i="7"/>
  <c r="C69" i="4"/>
  <c r="D68" i="4" s="1"/>
  <c r="I68" i="4" s="1"/>
  <c r="F68" i="4"/>
  <c r="A70" i="6"/>
  <c r="D69" i="6"/>
  <c r="E69" i="6"/>
  <c r="B69" i="6"/>
  <c r="C69" i="6"/>
  <c r="A71" i="6" l="1"/>
  <c r="C67" i="7"/>
  <c r="F66" i="7"/>
  <c r="D66" i="7"/>
  <c r="F68" i="5"/>
  <c r="I67" i="5"/>
  <c r="C68" i="1"/>
  <c r="D67" i="1" s="1"/>
  <c r="I67" i="1" s="1"/>
  <c r="F67" i="1"/>
  <c r="D66" i="1"/>
  <c r="I66" i="1" s="1"/>
  <c r="C76" i="5"/>
  <c r="A68" i="7"/>
  <c r="E67" i="7"/>
  <c r="A70" i="5"/>
  <c r="E69" i="5"/>
  <c r="A73" i="4"/>
  <c r="E72" i="4"/>
  <c r="I65" i="7"/>
  <c r="C70" i="4"/>
  <c r="D69" i="4"/>
  <c r="I69" i="4" s="1"/>
  <c r="F69" i="4"/>
  <c r="E70" i="6"/>
  <c r="B70" i="6"/>
  <c r="C70" i="6"/>
  <c r="D70" i="6"/>
  <c r="I66" i="7" l="1"/>
  <c r="C77" i="5"/>
  <c r="D76" i="5"/>
  <c r="C71" i="4"/>
  <c r="F70" i="4"/>
  <c r="D70" i="4"/>
  <c r="I70" i="4" s="1"/>
  <c r="E73" i="4"/>
  <c r="A74" i="4"/>
  <c r="I68" i="5"/>
  <c r="F69" i="5"/>
  <c r="F67" i="7"/>
  <c r="C68" i="7"/>
  <c r="D67" i="7"/>
  <c r="A71" i="5"/>
  <c r="E70" i="5"/>
  <c r="A69" i="7"/>
  <c r="E68" i="7"/>
  <c r="C69" i="1"/>
  <c r="F68" i="1"/>
  <c r="D75" i="5"/>
  <c r="A72" i="6"/>
  <c r="E71" i="6"/>
  <c r="D71" i="6"/>
  <c r="C71" i="6"/>
  <c r="B71" i="6"/>
  <c r="E74" i="4" l="1"/>
  <c r="A75" i="4"/>
  <c r="A72" i="5"/>
  <c r="E71" i="5"/>
  <c r="C70" i="1"/>
  <c r="D69" i="1" s="1"/>
  <c r="I69" i="1" s="1"/>
  <c r="F69" i="1"/>
  <c r="D77" i="5"/>
  <c r="C78" i="5"/>
  <c r="A70" i="7"/>
  <c r="E69" i="7"/>
  <c r="I69" i="5"/>
  <c r="F70" i="5"/>
  <c r="I67" i="7"/>
  <c r="C69" i="7"/>
  <c r="F68" i="7"/>
  <c r="D68" i="7"/>
  <c r="I68" i="7" s="1"/>
  <c r="C72" i="4"/>
  <c r="F71" i="4"/>
  <c r="A73" i="6"/>
  <c r="D68" i="1"/>
  <c r="I68" i="1" s="1"/>
  <c r="D72" i="6"/>
  <c r="E72" i="6"/>
  <c r="C72" i="6"/>
  <c r="B72" i="6"/>
  <c r="C70" i="7" l="1"/>
  <c r="D69" i="7"/>
  <c r="F69" i="7"/>
  <c r="C73" i="4"/>
  <c r="F72" i="4"/>
  <c r="C71" i="1"/>
  <c r="F70" i="1"/>
  <c r="A74" i="6"/>
  <c r="A71" i="7"/>
  <c r="E70" i="7"/>
  <c r="I70" i="5"/>
  <c r="F71" i="5"/>
  <c r="D71" i="4"/>
  <c r="I71" i="4" s="1"/>
  <c r="A73" i="5"/>
  <c r="E72" i="5"/>
  <c r="C79" i="5"/>
  <c r="D78" i="5"/>
  <c r="E75" i="4"/>
  <c r="A76" i="4"/>
  <c r="E73" i="6"/>
  <c r="B73" i="6"/>
  <c r="D73" i="6"/>
  <c r="C73" i="6"/>
  <c r="E76" i="4" l="1"/>
  <c r="A77" i="4"/>
  <c r="A75" i="6"/>
  <c r="I69" i="7"/>
  <c r="C71" i="7"/>
  <c r="D70" i="7" s="1"/>
  <c r="I70" i="7" s="1"/>
  <c r="F70" i="7"/>
  <c r="C74" i="4"/>
  <c r="D73" i="4"/>
  <c r="I73" i="4" s="1"/>
  <c r="F73" i="4"/>
  <c r="C72" i="1"/>
  <c r="F71" i="1"/>
  <c r="C80" i="5"/>
  <c r="F72" i="5"/>
  <c r="I71" i="5"/>
  <c r="D72" i="4"/>
  <c r="I72" i="4" s="1"/>
  <c r="A72" i="7"/>
  <c r="E71" i="7"/>
  <c r="D70" i="1"/>
  <c r="I70" i="1" s="1"/>
  <c r="A74" i="5"/>
  <c r="E73" i="5"/>
  <c r="B74" i="6"/>
  <c r="D74" i="6"/>
  <c r="E74" i="6"/>
  <c r="C74" i="6"/>
  <c r="A73" i="7" l="1"/>
  <c r="E72" i="7"/>
  <c r="D72" i="1"/>
  <c r="I72" i="1" s="1"/>
  <c r="C73" i="1"/>
  <c r="F72" i="1"/>
  <c r="D71" i="1"/>
  <c r="I71" i="1" s="1"/>
  <c r="I72" i="5"/>
  <c r="F73" i="5"/>
  <c r="E74" i="5"/>
  <c r="A75" i="5"/>
  <c r="C75" i="4"/>
  <c r="F74" i="4"/>
  <c r="A76" i="6"/>
  <c r="C81" i="5"/>
  <c r="D79" i="5"/>
  <c r="E77" i="4"/>
  <c r="A78" i="4"/>
  <c r="F71" i="7"/>
  <c r="C72" i="7"/>
  <c r="D71" i="7"/>
  <c r="C75" i="6"/>
  <c r="B75" i="6"/>
  <c r="E75" i="6"/>
  <c r="D75" i="6"/>
  <c r="I71" i="7" l="1"/>
  <c r="C76" i="4"/>
  <c r="D75" i="4"/>
  <c r="I75" i="4" s="1"/>
  <c r="F75" i="4"/>
  <c r="D81" i="5"/>
  <c r="C82" i="5"/>
  <c r="F72" i="7"/>
  <c r="C73" i="7"/>
  <c r="D72" i="7" s="1"/>
  <c r="A76" i="5"/>
  <c r="E75" i="5"/>
  <c r="F74" i="5"/>
  <c r="I73" i="5"/>
  <c r="E78" i="4"/>
  <c r="A79" i="4"/>
  <c r="D80" i="5"/>
  <c r="A77" i="6"/>
  <c r="D74" i="4"/>
  <c r="I74" i="4" s="1"/>
  <c r="D73" i="1"/>
  <c r="I73" i="1" s="1"/>
  <c r="C74" i="1"/>
  <c r="F73" i="1"/>
  <c r="A74" i="7"/>
  <c r="E73" i="7"/>
  <c r="B76" i="6"/>
  <c r="C76" i="6"/>
  <c r="E76" i="6"/>
  <c r="D76" i="6"/>
  <c r="I72" i="7" l="1"/>
  <c r="F75" i="5"/>
  <c r="I74" i="5"/>
  <c r="A77" i="5"/>
  <c r="E76" i="5"/>
  <c r="C77" i="4"/>
  <c r="F76" i="4"/>
  <c r="D76" i="4"/>
  <c r="I76" i="4" s="1"/>
  <c r="A75" i="7"/>
  <c r="E74" i="7"/>
  <c r="C75" i="1"/>
  <c r="D74" i="1"/>
  <c r="I74" i="1" s="1"/>
  <c r="F74" i="1"/>
  <c r="C74" i="7"/>
  <c r="D73" i="7"/>
  <c r="F73" i="7"/>
  <c r="E79" i="4"/>
  <c r="A80" i="4"/>
  <c r="C83" i="5"/>
  <c r="D82" i="5" s="1"/>
  <c r="D77" i="6"/>
  <c r="B77" i="6"/>
  <c r="C77" i="6"/>
  <c r="E77" i="6"/>
  <c r="D78" i="6" l="1"/>
  <c r="E78" i="6"/>
  <c r="B78" i="6"/>
  <c r="C78" i="6"/>
  <c r="F76" i="5"/>
  <c r="I75" i="5"/>
  <c r="E80" i="4"/>
  <c r="A81" i="4"/>
  <c r="C76" i="1"/>
  <c r="D75" i="1"/>
  <c r="I75" i="1" s="1"/>
  <c r="F75" i="1"/>
  <c r="A78" i="5"/>
  <c r="E77" i="5"/>
  <c r="C84" i="5"/>
  <c r="D83" i="5" s="1"/>
  <c r="A76" i="7"/>
  <c r="E75" i="7"/>
  <c r="I73" i="7"/>
  <c r="F74" i="7"/>
  <c r="C75" i="7"/>
  <c r="D74" i="7" s="1"/>
  <c r="I74" i="7" s="1"/>
  <c r="C78" i="4"/>
  <c r="D77" i="4"/>
  <c r="I77" i="4" s="1"/>
  <c r="F77" i="4"/>
  <c r="A77" i="7" l="1"/>
  <c r="E76" i="7"/>
  <c r="C77" i="1"/>
  <c r="D76" i="1"/>
  <c r="I76" i="1" s="1"/>
  <c r="F76" i="1"/>
  <c r="E81" i="4"/>
  <c r="A82" i="4"/>
  <c r="C79" i="4"/>
  <c r="D78" i="4"/>
  <c r="I78" i="4" s="1"/>
  <c r="F78" i="4"/>
  <c r="C85" i="5"/>
  <c r="F75" i="7"/>
  <c r="C76" i="7"/>
  <c r="D75" i="7"/>
  <c r="F77" i="5"/>
  <c r="I76" i="5"/>
  <c r="A79" i="5"/>
  <c r="E78" i="5"/>
  <c r="I75" i="7" l="1"/>
  <c r="E79" i="5"/>
  <c r="A80" i="5"/>
  <c r="C77" i="7"/>
  <c r="F76" i="7"/>
  <c r="C78" i="1"/>
  <c r="D77" i="1"/>
  <c r="I77" i="1" s="1"/>
  <c r="F77" i="1"/>
  <c r="C86" i="5"/>
  <c r="D79" i="4"/>
  <c r="I79" i="4" s="1"/>
  <c r="C80" i="4"/>
  <c r="F79" i="4"/>
  <c r="E82" i="4"/>
  <c r="A83" i="4"/>
  <c r="F78" i="5"/>
  <c r="I77" i="5"/>
  <c r="D84" i="5"/>
  <c r="A78" i="7"/>
  <c r="E77" i="7"/>
  <c r="F79" i="5" l="1"/>
  <c r="I78" i="5"/>
  <c r="C87" i="5"/>
  <c r="D86" i="5"/>
  <c r="E78" i="7"/>
  <c r="A79" i="7"/>
  <c r="C78" i="7"/>
  <c r="F77" i="7"/>
  <c r="D77" i="7"/>
  <c r="D85" i="5"/>
  <c r="A81" i="5"/>
  <c r="E80" i="5"/>
  <c r="E83" i="4"/>
  <c r="A84" i="4"/>
  <c r="C79" i="1"/>
  <c r="D78" i="1" s="1"/>
  <c r="I78" i="1" s="1"/>
  <c r="F78" i="1"/>
  <c r="C81" i="4"/>
  <c r="D80" i="4" s="1"/>
  <c r="I80" i="4" s="1"/>
  <c r="F80" i="4"/>
  <c r="D76" i="7"/>
  <c r="I76" i="7" s="1"/>
  <c r="A80" i="7" l="1"/>
  <c r="E79" i="7"/>
  <c r="A85" i="4"/>
  <c r="E84" i="4"/>
  <c r="I77" i="7"/>
  <c r="F78" i="7"/>
  <c r="C79" i="7"/>
  <c r="D78" i="7"/>
  <c r="C88" i="5"/>
  <c r="C80" i="1"/>
  <c r="D79" i="1"/>
  <c r="I79" i="1" s="1"/>
  <c r="F79" i="1"/>
  <c r="F80" i="5"/>
  <c r="I79" i="5"/>
  <c r="E81" i="5"/>
  <c r="A82" i="5"/>
  <c r="F81" i="4"/>
  <c r="C82" i="4"/>
  <c r="C89" i="5" l="1"/>
  <c r="D88" i="5"/>
  <c r="E85" i="4"/>
  <c r="A86" i="4"/>
  <c r="D87" i="5"/>
  <c r="E82" i="5"/>
  <c r="A83" i="5"/>
  <c r="F81" i="5"/>
  <c r="I80" i="5"/>
  <c r="A81" i="7"/>
  <c r="E80" i="7"/>
  <c r="C80" i="7"/>
  <c r="D79" i="7" s="1"/>
  <c r="F79" i="7"/>
  <c r="I78" i="7"/>
  <c r="C83" i="4"/>
  <c r="D82" i="4"/>
  <c r="I82" i="4" s="1"/>
  <c r="F82" i="4"/>
  <c r="C81" i="1"/>
  <c r="F80" i="1"/>
  <c r="D81" i="4"/>
  <c r="I81" i="4" s="1"/>
  <c r="I79" i="7" l="1"/>
  <c r="I81" i="5"/>
  <c r="F82" i="5"/>
  <c r="A84" i="5"/>
  <c r="E83" i="5"/>
  <c r="C82" i="1"/>
  <c r="D81" i="1" s="1"/>
  <c r="I81" i="1" s="1"/>
  <c r="F81" i="1"/>
  <c r="A87" i="4"/>
  <c r="E86" i="4"/>
  <c r="F80" i="7"/>
  <c r="C81" i="7"/>
  <c r="D80" i="7"/>
  <c r="D80" i="1"/>
  <c r="I80" i="1" s="1"/>
  <c r="A82" i="7"/>
  <c r="E81" i="7"/>
  <c r="C84" i="4"/>
  <c r="D83" i="4"/>
  <c r="I83" i="4" s="1"/>
  <c r="F83" i="4"/>
  <c r="D89" i="5"/>
  <c r="C90" i="5"/>
  <c r="A83" i="7" l="1"/>
  <c r="E82" i="7"/>
  <c r="I80" i="7"/>
  <c r="C85" i="4"/>
  <c r="D84" i="4" s="1"/>
  <c r="I84" i="4" s="1"/>
  <c r="F84" i="4"/>
  <c r="I82" i="5"/>
  <c r="F83" i="5"/>
  <c r="C91" i="5"/>
  <c r="D90" i="5"/>
  <c r="C82" i="7"/>
  <c r="D81" i="7" s="1"/>
  <c r="I81" i="7" s="1"/>
  <c r="F81" i="7"/>
  <c r="A85" i="5"/>
  <c r="E84" i="5"/>
  <c r="E87" i="4"/>
  <c r="A88" i="4"/>
  <c r="C83" i="1"/>
  <c r="F82" i="1"/>
  <c r="A89" i="4" l="1"/>
  <c r="E88" i="4"/>
  <c r="C84" i="1"/>
  <c r="D83" i="1"/>
  <c r="I83" i="1" s="1"/>
  <c r="F83" i="1"/>
  <c r="I83" i="5"/>
  <c r="F84" i="5"/>
  <c r="A86" i="5"/>
  <c r="E85" i="5"/>
  <c r="C86" i="4"/>
  <c r="D85" i="4"/>
  <c r="I85" i="4" s="1"/>
  <c r="F85" i="4"/>
  <c r="D82" i="1"/>
  <c r="I82" i="1" s="1"/>
  <c r="C92" i="5"/>
  <c r="D91" i="5"/>
  <c r="C83" i="7"/>
  <c r="D82" i="7"/>
  <c r="I82" i="7" s="1"/>
  <c r="F82" i="7"/>
  <c r="A84" i="7"/>
  <c r="E83" i="7"/>
  <c r="A87" i="5" l="1"/>
  <c r="E86" i="5"/>
  <c r="C85" i="1"/>
  <c r="D84" i="1" s="1"/>
  <c r="I84" i="1" s="1"/>
  <c r="F84" i="1"/>
  <c r="F85" i="5"/>
  <c r="I84" i="5"/>
  <c r="A85" i="7"/>
  <c r="E84" i="7"/>
  <c r="F83" i="7"/>
  <c r="C84" i="7"/>
  <c r="D83" i="7" s="1"/>
  <c r="C87" i="4"/>
  <c r="F86" i="4"/>
  <c r="D86" i="4"/>
  <c r="I86" i="4" s="1"/>
  <c r="C93" i="5"/>
  <c r="D92" i="5"/>
  <c r="E89" i="4"/>
  <c r="A90" i="4"/>
  <c r="I83" i="7" l="1"/>
  <c r="F87" i="4"/>
  <c r="C88" i="4"/>
  <c r="C86" i="1"/>
  <c r="D85" i="1"/>
  <c r="I85" i="1" s="1"/>
  <c r="F85" i="1"/>
  <c r="A86" i="7"/>
  <c r="E85" i="7"/>
  <c r="D93" i="5"/>
  <c r="C94" i="5"/>
  <c r="F84" i="7"/>
  <c r="C85" i="7"/>
  <c r="D84" i="7"/>
  <c r="A91" i="4"/>
  <c r="E90" i="4"/>
  <c r="F86" i="5"/>
  <c r="I85" i="5"/>
  <c r="A88" i="5"/>
  <c r="E87" i="5"/>
  <c r="A87" i="7" l="1"/>
  <c r="E86" i="7"/>
  <c r="C89" i="4"/>
  <c r="F88" i="4"/>
  <c r="D88" i="4"/>
  <c r="I88" i="4" s="1"/>
  <c r="I84" i="7"/>
  <c r="D85" i="7"/>
  <c r="I85" i="7" s="1"/>
  <c r="F85" i="7"/>
  <c r="C86" i="7"/>
  <c r="F87" i="5"/>
  <c r="I86" i="5"/>
  <c r="C87" i="1"/>
  <c r="F86" i="1"/>
  <c r="E91" i="4"/>
  <c r="A92" i="4"/>
  <c r="A89" i="5"/>
  <c r="E88" i="5"/>
  <c r="C95" i="5"/>
  <c r="D94" i="5"/>
  <c r="D87" i="4"/>
  <c r="I87" i="4" s="1"/>
  <c r="F88" i="5" l="1"/>
  <c r="I87" i="5"/>
  <c r="F89" i="4"/>
  <c r="C90" i="4"/>
  <c r="D89" i="4" s="1"/>
  <c r="I89" i="4" s="1"/>
  <c r="C87" i="7"/>
  <c r="F86" i="7"/>
  <c r="C88" i="1"/>
  <c r="D87" i="1" s="1"/>
  <c r="I87" i="1" s="1"/>
  <c r="F87" i="1"/>
  <c r="D86" i="1"/>
  <c r="I86" i="1" s="1"/>
  <c r="C96" i="5"/>
  <c r="A90" i="5"/>
  <c r="E89" i="5"/>
  <c r="A93" i="4"/>
  <c r="E92" i="4"/>
  <c r="E87" i="7"/>
  <c r="A88" i="7"/>
  <c r="E93" i="4" l="1"/>
  <c r="A94" i="4"/>
  <c r="F87" i="7"/>
  <c r="C88" i="7"/>
  <c r="D87" i="7"/>
  <c r="A89" i="7"/>
  <c r="E88" i="7"/>
  <c r="C97" i="5"/>
  <c r="D96" i="5"/>
  <c r="D95" i="5"/>
  <c r="C91" i="4"/>
  <c r="D90" i="4" s="1"/>
  <c r="I90" i="4" s="1"/>
  <c r="F90" i="4"/>
  <c r="I88" i="5"/>
  <c r="F89" i="5"/>
  <c r="C89" i="1"/>
  <c r="D88" i="1" s="1"/>
  <c r="I88" i="1" s="1"/>
  <c r="F88" i="1"/>
  <c r="E90" i="5"/>
  <c r="A91" i="5"/>
  <c r="D86" i="7"/>
  <c r="I86" i="7" s="1"/>
  <c r="A90" i="7" l="1"/>
  <c r="E89" i="7"/>
  <c r="I87" i="7"/>
  <c r="C98" i="5"/>
  <c r="D97" i="5" s="1"/>
  <c r="F88" i="7"/>
  <c r="C89" i="7"/>
  <c r="D88" i="7"/>
  <c r="C90" i="1"/>
  <c r="F89" i="1"/>
  <c r="A92" i="5"/>
  <c r="E91" i="5"/>
  <c r="A95" i="4"/>
  <c r="E94" i="4"/>
  <c r="F90" i="5"/>
  <c r="I89" i="5"/>
  <c r="C92" i="4"/>
  <c r="D91" i="4"/>
  <c r="I91" i="4" s="1"/>
  <c r="F91" i="4"/>
  <c r="I90" i="5" l="1"/>
  <c r="F91" i="5"/>
  <c r="A93" i="5"/>
  <c r="E92" i="5"/>
  <c r="C93" i="4"/>
  <c r="D92" i="4"/>
  <c r="I92" i="4" s="1"/>
  <c r="F92" i="4"/>
  <c r="C91" i="1"/>
  <c r="F90" i="1"/>
  <c r="D90" i="1"/>
  <c r="I90" i="1" s="1"/>
  <c r="E95" i="4"/>
  <c r="A96" i="4"/>
  <c r="C99" i="5"/>
  <c r="D98" i="5"/>
  <c r="D89" i="1"/>
  <c r="I89" i="1" s="1"/>
  <c r="I88" i="7"/>
  <c r="C90" i="7"/>
  <c r="F89" i="7"/>
  <c r="A91" i="7"/>
  <c r="E90" i="7"/>
  <c r="F90" i="7" l="1"/>
  <c r="C91" i="7"/>
  <c r="D90" i="7"/>
  <c r="C92" i="1"/>
  <c r="D91" i="1"/>
  <c r="I91" i="1" s="1"/>
  <c r="F91" i="1"/>
  <c r="A92" i="7"/>
  <c r="E91" i="7"/>
  <c r="C100" i="5"/>
  <c r="C94" i="4"/>
  <c r="F93" i="4"/>
  <c r="D93" i="4"/>
  <c r="I93" i="4" s="1"/>
  <c r="D89" i="7"/>
  <c r="I89" i="7" s="1"/>
  <c r="A97" i="4"/>
  <c r="E96" i="4"/>
  <c r="I91" i="5"/>
  <c r="F92" i="5"/>
  <c r="A94" i="5"/>
  <c r="E93" i="5"/>
  <c r="C101" i="5" l="1"/>
  <c r="D100" i="5"/>
  <c r="A93" i="7"/>
  <c r="E92" i="7"/>
  <c r="D99" i="5"/>
  <c r="E97" i="4"/>
  <c r="A98" i="4"/>
  <c r="C93" i="1"/>
  <c r="F92" i="1"/>
  <c r="I92" i="5"/>
  <c r="F93" i="5"/>
  <c r="I90" i="7"/>
  <c r="A95" i="5"/>
  <c r="E94" i="5"/>
  <c r="C95" i="4"/>
  <c r="D94" i="4"/>
  <c r="I94" i="4" s="1"/>
  <c r="F94" i="4"/>
  <c r="C92" i="7"/>
  <c r="F91" i="7"/>
  <c r="D91" i="7"/>
  <c r="I91" i="7" s="1"/>
  <c r="C94" i="1" l="1"/>
  <c r="F93" i="1"/>
  <c r="D92" i="1"/>
  <c r="I92" i="1" s="1"/>
  <c r="F94" i="5"/>
  <c r="I93" i="5"/>
  <c r="C96" i="4"/>
  <c r="D95" i="4" s="1"/>
  <c r="I95" i="4" s="1"/>
  <c r="F95" i="4"/>
  <c r="C102" i="5"/>
  <c r="A99" i="4"/>
  <c r="E98" i="4"/>
  <c r="E95" i="5"/>
  <c r="A96" i="5"/>
  <c r="F92" i="7"/>
  <c r="C93" i="7"/>
  <c r="A94" i="7"/>
  <c r="E93" i="7"/>
  <c r="A97" i="5" l="1"/>
  <c r="E96" i="5"/>
  <c r="I94" i="5"/>
  <c r="F95" i="5"/>
  <c r="C97" i="4"/>
  <c r="D96" i="4"/>
  <c r="I96" i="4" s="1"/>
  <c r="F96" i="4"/>
  <c r="A100" i="4"/>
  <c r="E99" i="4"/>
  <c r="F93" i="7"/>
  <c r="C94" i="7"/>
  <c r="C95" i="1"/>
  <c r="F94" i="1"/>
  <c r="A95" i="7"/>
  <c r="E94" i="7"/>
  <c r="C103" i="5"/>
  <c r="D102" i="5"/>
  <c r="D92" i="7"/>
  <c r="I92" i="7" s="1"/>
  <c r="D101" i="5"/>
  <c r="D93" i="1"/>
  <c r="I93" i="1" s="1"/>
  <c r="A96" i="7" l="1"/>
  <c r="E95" i="7"/>
  <c r="C96" i="1"/>
  <c r="D95" i="1"/>
  <c r="I95" i="1" s="1"/>
  <c r="F95" i="1"/>
  <c r="D94" i="1"/>
  <c r="I94" i="1" s="1"/>
  <c r="C98" i="4"/>
  <c r="F97" i="4"/>
  <c r="D97" i="4"/>
  <c r="I97" i="4" s="1"/>
  <c r="E100" i="4"/>
  <c r="A101" i="4"/>
  <c r="C95" i="7"/>
  <c r="F94" i="7"/>
  <c r="D93" i="7"/>
  <c r="I93" i="7" s="1"/>
  <c r="C104" i="5"/>
  <c r="D103" i="5" s="1"/>
  <c r="F96" i="5"/>
  <c r="I95" i="5"/>
  <c r="E97" i="5"/>
  <c r="A98" i="5"/>
  <c r="C99" i="4" l="1"/>
  <c r="F98" i="4"/>
  <c r="C96" i="7"/>
  <c r="F95" i="7"/>
  <c r="D95" i="7"/>
  <c r="E98" i="5"/>
  <c r="A99" i="5"/>
  <c r="I96" i="5"/>
  <c r="F97" i="5"/>
  <c r="E101" i="4"/>
  <c r="A102" i="4"/>
  <c r="C97" i="1"/>
  <c r="D96" i="1" s="1"/>
  <c r="I96" i="1" s="1"/>
  <c r="F96" i="1"/>
  <c r="C105" i="5"/>
  <c r="D94" i="7"/>
  <c r="I94" i="7" s="1"/>
  <c r="A97" i="7"/>
  <c r="E96" i="7"/>
  <c r="I95" i="7" l="1"/>
  <c r="C106" i="5"/>
  <c r="I97" i="5"/>
  <c r="F98" i="5"/>
  <c r="A98" i="7"/>
  <c r="E97" i="7"/>
  <c r="F96" i="7"/>
  <c r="C97" i="7"/>
  <c r="D96" i="7"/>
  <c r="E102" i="4"/>
  <c r="A103" i="4"/>
  <c r="C100" i="4"/>
  <c r="D99" i="4"/>
  <c r="I99" i="4" s="1"/>
  <c r="F99" i="4"/>
  <c r="A100" i="5"/>
  <c r="E99" i="5"/>
  <c r="C98" i="1"/>
  <c r="F97" i="1"/>
  <c r="D104" i="5"/>
  <c r="D98" i="4"/>
  <c r="I98" i="4" s="1"/>
  <c r="A99" i="7" l="1"/>
  <c r="E98" i="7"/>
  <c r="A101" i="5"/>
  <c r="E100" i="5"/>
  <c r="C101" i="4"/>
  <c r="F100" i="4"/>
  <c r="D100" i="4"/>
  <c r="I100" i="4" s="1"/>
  <c r="C99" i="1"/>
  <c r="F98" i="1"/>
  <c r="E103" i="4"/>
  <c r="A104" i="4"/>
  <c r="D97" i="1"/>
  <c r="I97" i="1" s="1"/>
  <c r="I96" i="7"/>
  <c r="C107" i="5"/>
  <c r="D106" i="5"/>
  <c r="F99" i="5"/>
  <c r="I98" i="5"/>
  <c r="C98" i="7"/>
  <c r="F97" i="7"/>
  <c r="D97" i="7"/>
  <c r="D105" i="5"/>
  <c r="I97" i="7" l="1"/>
  <c r="C108" i="5"/>
  <c r="D107" i="5" s="1"/>
  <c r="C100" i="1"/>
  <c r="D99" i="1"/>
  <c r="I99" i="1" s="1"/>
  <c r="F99" i="1"/>
  <c r="D98" i="1"/>
  <c r="I98" i="1" s="1"/>
  <c r="A102" i="5"/>
  <c r="E101" i="5"/>
  <c r="F100" i="5"/>
  <c r="I99" i="5"/>
  <c r="C99" i="7"/>
  <c r="F98" i="7"/>
  <c r="D98" i="7"/>
  <c r="I98" i="7" s="1"/>
  <c r="C102" i="4"/>
  <c r="F101" i="4"/>
  <c r="D101" i="4"/>
  <c r="I101" i="4" s="1"/>
  <c r="E104" i="4"/>
  <c r="A105" i="4"/>
  <c r="A100" i="7"/>
  <c r="E99" i="7"/>
  <c r="C103" i="4" l="1"/>
  <c r="D102" i="4" s="1"/>
  <c r="I102" i="4" s="1"/>
  <c r="F102" i="4"/>
  <c r="A103" i="5"/>
  <c r="E102" i="5"/>
  <c r="C101" i="1"/>
  <c r="D100" i="1"/>
  <c r="I100" i="1" s="1"/>
  <c r="F100" i="1"/>
  <c r="F101" i="5"/>
  <c r="I100" i="5"/>
  <c r="A101" i="7"/>
  <c r="E100" i="7"/>
  <c r="F99" i="7"/>
  <c r="C100" i="7"/>
  <c r="D99" i="7"/>
  <c r="I99" i="7" s="1"/>
  <c r="E105" i="4"/>
  <c r="A106" i="4"/>
  <c r="C109" i="5"/>
  <c r="D108" i="5"/>
  <c r="C101" i="7" l="1"/>
  <c r="F100" i="7"/>
  <c r="D100" i="7"/>
  <c r="C102" i="1"/>
  <c r="D101" i="1"/>
  <c r="I101" i="1" s="1"/>
  <c r="F101" i="1"/>
  <c r="D109" i="5"/>
  <c r="C110" i="5"/>
  <c r="F102" i="5"/>
  <c r="I101" i="5"/>
  <c r="A104" i="5"/>
  <c r="E103" i="5"/>
  <c r="A102" i="7"/>
  <c r="E101" i="7"/>
  <c r="E106" i="4"/>
  <c r="A107" i="4"/>
  <c r="C104" i="4"/>
  <c r="F103" i="4"/>
  <c r="C105" i="4" l="1"/>
  <c r="D104" i="4"/>
  <c r="I104" i="4" s="1"/>
  <c r="F104" i="4"/>
  <c r="E107" i="4"/>
  <c r="A108" i="4"/>
  <c r="F103" i="5"/>
  <c r="I102" i="5"/>
  <c r="C103" i="1"/>
  <c r="F102" i="1"/>
  <c r="A103" i="7"/>
  <c r="E102" i="7"/>
  <c r="I100" i="7"/>
  <c r="A105" i="5"/>
  <c r="E104" i="5"/>
  <c r="D103" i="4"/>
  <c r="I103" i="4" s="1"/>
  <c r="C111" i="5"/>
  <c r="D110" i="5"/>
  <c r="F101" i="7"/>
  <c r="C102" i="7"/>
  <c r="F102" i="7" l="1"/>
  <c r="C103" i="7"/>
  <c r="I103" i="5"/>
  <c r="F104" i="5"/>
  <c r="A106" i="5"/>
  <c r="E105" i="5"/>
  <c r="E108" i="4"/>
  <c r="A109" i="4"/>
  <c r="D101" i="7"/>
  <c r="I101" i="7" s="1"/>
  <c r="A104" i="7"/>
  <c r="E103" i="7"/>
  <c r="C112" i="5"/>
  <c r="D111" i="5" s="1"/>
  <c r="C104" i="1"/>
  <c r="D103" i="1" s="1"/>
  <c r="I103" i="1" s="1"/>
  <c r="F103" i="1"/>
  <c r="C106" i="4"/>
  <c r="D105" i="4"/>
  <c r="I105" i="4" s="1"/>
  <c r="F105" i="4"/>
  <c r="D102" i="1"/>
  <c r="I102" i="1" s="1"/>
  <c r="C113" i="5" l="1"/>
  <c r="D112" i="5"/>
  <c r="E106" i="5"/>
  <c r="A107" i="5"/>
  <c r="C107" i="4"/>
  <c r="D106" i="4" s="1"/>
  <c r="I106" i="4" s="1"/>
  <c r="F106" i="4"/>
  <c r="F103" i="7"/>
  <c r="C104" i="7"/>
  <c r="D103" i="7" s="1"/>
  <c r="I103" i="7" s="1"/>
  <c r="F105" i="5"/>
  <c r="I104" i="5"/>
  <c r="A105" i="7"/>
  <c r="E104" i="7"/>
  <c r="D102" i="7"/>
  <c r="I102" i="7" s="1"/>
  <c r="C105" i="1"/>
  <c r="F104" i="1"/>
  <c r="E109" i="4"/>
  <c r="A110" i="4"/>
  <c r="A106" i="7" l="1"/>
  <c r="E105" i="7"/>
  <c r="F106" i="5"/>
  <c r="I105" i="5"/>
  <c r="C106" i="1"/>
  <c r="F105" i="1"/>
  <c r="C108" i="4"/>
  <c r="D107" i="4"/>
  <c r="I107" i="4" s="1"/>
  <c r="F107" i="4"/>
  <c r="A108" i="5"/>
  <c r="E107" i="5"/>
  <c r="F104" i="7"/>
  <c r="C105" i="7"/>
  <c r="D104" i="7" s="1"/>
  <c r="I104" i="7" s="1"/>
  <c r="D104" i="1"/>
  <c r="I104" i="1" s="1"/>
  <c r="C114" i="5"/>
  <c r="E110" i="4"/>
  <c r="A111" i="4"/>
  <c r="C107" i="1" l="1"/>
  <c r="D106" i="1" s="1"/>
  <c r="I106" i="1" s="1"/>
  <c r="F106" i="1"/>
  <c r="D105" i="1"/>
  <c r="I105" i="1" s="1"/>
  <c r="C106" i="7"/>
  <c r="F105" i="7"/>
  <c r="D105" i="7"/>
  <c r="I105" i="7" s="1"/>
  <c r="F107" i="5"/>
  <c r="I106" i="5"/>
  <c r="C115" i="5"/>
  <c r="D114" i="5"/>
  <c r="A109" i="5"/>
  <c r="E108" i="5"/>
  <c r="D113" i="5"/>
  <c r="E111" i="4"/>
  <c r="A112" i="4"/>
  <c r="C109" i="4"/>
  <c r="D108" i="4"/>
  <c r="I108" i="4" s="1"/>
  <c r="F108" i="4"/>
  <c r="A107" i="7"/>
  <c r="E106" i="7"/>
  <c r="C107" i="7" l="1"/>
  <c r="F106" i="7"/>
  <c r="D106" i="7"/>
  <c r="A110" i="5"/>
  <c r="E109" i="5"/>
  <c r="A108" i="7"/>
  <c r="E107" i="7"/>
  <c r="C110" i="4"/>
  <c r="D109" i="4" s="1"/>
  <c r="I109" i="4" s="1"/>
  <c r="F109" i="4"/>
  <c r="C116" i="5"/>
  <c r="D115" i="5"/>
  <c r="I107" i="5"/>
  <c r="F108" i="5"/>
  <c r="E112" i="4"/>
  <c r="A113" i="4"/>
  <c r="C108" i="1"/>
  <c r="D107" i="1"/>
  <c r="I107" i="1" s="1"/>
  <c r="F107" i="1"/>
  <c r="A109" i="7" l="1"/>
  <c r="E108" i="7"/>
  <c r="F109" i="5"/>
  <c r="I108" i="5"/>
  <c r="A111" i="5"/>
  <c r="E110" i="5"/>
  <c r="C117" i="5"/>
  <c r="C109" i="1"/>
  <c r="D108" i="1" s="1"/>
  <c r="I108" i="1" s="1"/>
  <c r="F108" i="1"/>
  <c r="E113" i="4"/>
  <c r="A114" i="4"/>
  <c r="I106" i="7"/>
  <c r="C111" i="4"/>
  <c r="F110" i="4"/>
  <c r="D110" i="4"/>
  <c r="I110" i="4" s="1"/>
  <c r="C108" i="7"/>
  <c r="F107" i="7"/>
  <c r="D107" i="7"/>
  <c r="I107" i="7" s="1"/>
  <c r="C118" i="5" l="1"/>
  <c r="D117" i="5"/>
  <c r="F108" i="7"/>
  <c r="C109" i="7"/>
  <c r="D108" i="7"/>
  <c r="I109" i="5"/>
  <c r="F110" i="5"/>
  <c r="E114" i="4"/>
  <c r="A115" i="4"/>
  <c r="E111" i="5"/>
  <c r="A112" i="5"/>
  <c r="C110" i="1"/>
  <c r="D109" i="1"/>
  <c r="I109" i="1" s="1"/>
  <c r="F109" i="1"/>
  <c r="F111" i="4"/>
  <c r="C112" i="4"/>
  <c r="D111" i="4"/>
  <c r="I111" i="4" s="1"/>
  <c r="D116" i="5"/>
  <c r="A110" i="7"/>
  <c r="E109" i="7"/>
  <c r="C111" i="1" l="1"/>
  <c r="F110" i="1"/>
  <c r="A111" i="7"/>
  <c r="E110" i="7"/>
  <c r="I110" i="5"/>
  <c r="F111" i="5"/>
  <c r="A113" i="5"/>
  <c r="E112" i="5"/>
  <c r="I108" i="7"/>
  <c r="C110" i="7"/>
  <c r="D109" i="7"/>
  <c r="F109" i="7"/>
  <c r="E115" i="4"/>
  <c r="A116" i="4"/>
  <c r="C113" i="4"/>
  <c r="D112" i="4"/>
  <c r="I112" i="4" s="1"/>
  <c r="F112" i="4"/>
  <c r="C119" i="5"/>
  <c r="D118" i="5"/>
  <c r="I109" i="7" l="1"/>
  <c r="C120" i="5"/>
  <c r="F110" i="7"/>
  <c r="C111" i="7"/>
  <c r="A112" i="7"/>
  <c r="E111" i="7"/>
  <c r="C114" i="4"/>
  <c r="F113" i="4"/>
  <c r="C112" i="1"/>
  <c r="D111" i="1"/>
  <c r="I111" i="1" s="1"/>
  <c r="F111" i="1"/>
  <c r="I111" i="5"/>
  <c r="F112" i="5"/>
  <c r="E116" i="4"/>
  <c r="A117" i="4"/>
  <c r="E113" i="5"/>
  <c r="A114" i="5"/>
  <c r="D110" i="1"/>
  <c r="I110" i="1" s="1"/>
  <c r="A113" i="7" l="1"/>
  <c r="E112" i="7"/>
  <c r="F111" i="7"/>
  <c r="C112" i="7"/>
  <c r="D111" i="7" s="1"/>
  <c r="I111" i="7" s="1"/>
  <c r="D110" i="7"/>
  <c r="I110" i="7" s="1"/>
  <c r="E114" i="5"/>
  <c r="A115" i="5"/>
  <c r="I112" i="5"/>
  <c r="F113" i="5"/>
  <c r="C113" i="1"/>
  <c r="F112" i="1"/>
  <c r="E117" i="4"/>
  <c r="A118" i="4"/>
  <c r="C115" i="4"/>
  <c r="F114" i="4"/>
  <c r="C121" i="5"/>
  <c r="D120" i="5"/>
  <c r="D113" i="4"/>
  <c r="I113" i="4" s="1"/>
  <c r="D119" i="5"/>
  <c r="C116" i="4" l="1"/>
  <c r="D115" i="4"/>
  <c r="I115" i="4" s="1"/>
  <c r="F115" i="4"/>
  <c r="C114" i="1"/>
  <c r="F113" i="1"/>
  <c r="D112" i="1"/>
  <c r="I112" i="1" s="1"/>
  <c r="F114" i="5"/>
  <c r="I113" i="5"/>
  <c r="D132" i="5"/>
  <c r="A116" i="5"/>
  <c r="E115" i="5"/>
  <c r="E118" i="4"/>
  <c r="A119" i="4"/>
  <c r="F112" i="7"/>
  <c r="C113" i="7"/>
  <c r="D112" i="7"/>
  <c r="I112" i="7" s="1"/>
  <c r="C122" i="5"/>
  <c r="D114" i="4"/>
  <c r="I114" i="4" s="1"/>
  <c r="A114" i="7"/>
  <c r="E113" i="7"/>
  <c r="C123" i="5" l="1"/>
  <c r="D122" i="5"/>
  <c r="D121" i="5"/>
  <c r="E119" i="4"/>
  <c r="A120" i="4"/>
  <c r="C115" i="1"/>
  <c r="F114" i="1"/>
  <c r="D114" i="1"/>
  <c r="I114" i="1" s="1"/>
  <c r="A117" i="5"/>
  <c r="E116" i="5"/>
  <c r="C114" i="7"/>
  <c r="F113" i="7"/>
  <c r="D113" i="7"/>
  <c r="I113" i="7" s="1"/>
  <c r="I114" i="5"/>
  <c r="F115" i="5"/>
  <c r="D113" i="1"/>
  <c r="I113" i="1" s="1"/>
  <c r="A115" i="7"/>
  <c r="E114" i="7"/>
  <c r="C117" i="4"/>
  <c r="D116" i="4"/>
  <c r="I116" i="4" s="1"/>
  <c r="F116" i="4"/>
  <c r="C116" i="1" l="1"/>
  <c r="D115" i="1"/>
  <c r="I115" i="1" s="1"/>
  <c r="F115" i="1"/>
  <c r="E120" i="4"/>
  <c r="A121" i="4"/>
  <c r="C115" i="7"/>
  <c r="F114" i="7"/>
  <c r="D114" i="7"/>
  <c r="C118" i="4"/>
  <c r="F117" i="4"/>
  <c r="D117" i="4"/>
  <c r="I117" i="4" s="1"/>
  <c r="F116" i="5"/>
  <c r="I115" i="5"/>
  <c r="E115" i="7"/>
  <c r="A116" i="7"/>
  <c r="A118" i="5"/>
  <c r="E117" i="5"/>
  <c r="C124" i="5"/>
  <c r="D123" i="5"/>
  <c r="I114" i="7" l="1"/>
  <c r="C116" i="7"/>
  <c r="F115" i="7"/>
  <c r="D115" i="7"/>
  <c r="I115" i="7" s="1"/>
  <c r="F117" i="5"/>
  <c r="I116" i="5"/>
  <c r="E121" i="4"/>
  <c r="A122" i="4"/>
  <c r="A119" i="5"/>
  <c r="E118" i="5"/>
  <c r="C119" i="4"/>
  <c r="D118" i="4"/>
  <c r="I118" i="4" s="1"/>
  <c r="F118" i="4"/>
  <c r="C125" i="5"/>
  <c r="D124" i="5"/>
  <c r="A117" i="7"/>
  <c r="E116" i="7"/>
  <c r="C117" i="1"/>
  <c r="D116" i="1"/>
  <c r="I116" i="1" s="1"/>
  <c r="F116" i="1"/>
  <c r="C126" i="5" l="1"/>
  <c r="E122" i="4"/>
  <c r="A123" i="4"/>
  <c r="C118" i="1"/>
  <c r="F117" i="1"/>
  <c r="F119" i="4"/>
  <c r="C120" i="4"/>
  <c r="D119" i="4"/>
  <c r="I119" i="4" s="1"/>
  <c r="A118" i="7"/>
  <c r="E117" i="7"/>
  <c r="F118" i="5"/>
  <c r="I117" i="5"/>
  <c r="C117" i="7"/>
  <c r="F116" i="7"/>
  <c r="D116" i="7"/>
  <c r="A120" i="5"/>
  <c r="E119" i="5"/>
  <c r="I118" i="5" l="1"/>
  <c r="F119" i="5"/>
  <c r="A121" i="5"/>
  <c r="E120" i="5"/>
  <c r="C127" i="5"/>
  <c r="D126" i="5" s="1"/>
  <c r="D118" i="1"/>
  <c r="I118" i="1" s="1"/>
  <c r="C119" i="1"/>
  <c r="F118" i="1"/>
  <c r="A119" i="7"/>
  <c r="E118" i="7"/>
  <c r="E123" i="4"/>
  <c r="A124" i="4"/>
  <c r="I116" i="7"/>
  <c r="C121" i="4"/>
  <c r="F120" i="4"/>
  <c r="F117" i="7"/>
  <c r="C118" i="7"/>
  <c r="D117" i="1"/>
  <c r="I117" i="1" s="1"/>
  <c r="D125" i="5"/>
  <c r="C119" i="7" l="1"/>
  <c r="D118" i="7"/>
  <c r="F118" i="7"/>
  <c r="F120" i="5"/>
  <c r="I119" i="5"/>
  <c r="A120" i="7"/>
  <c r="E119" i="7"/>
  <c r="F121" i="4"/>
  <c r="C122" i="4"/>
  <c r="C128" i="5"/>
  <c r="D127" i="5"/>
  <c r="E124" i="4"/>
  <c r="A125" i="4"/>
  <c r="D117" i="7"/>
  <c r="I117" i="7" s="1"/>
  <c r="A122" i="5"/>
  <c r="E121" i="5"/>
  <c r="D120" i="4"/>
  <c r="I120" i="4" s="1"/>
  <c r="C120" i="1"/>
  <c r="D119" i="1"/>
  <c r="I119" i="1" s="1"/>
  <c r="F119" i="1"/>
  <c r="E125" i="4" l="1"/>
  <c r="A126" i="4"/>
  <c r="A121" i="7"/>
  <c r="E120" i="7"/>
  <c r="C121" i="1"/>
  <c r="F120" i="1"/>
  <c r="I120" i="5"/>
  <c r="F121" i="5"/>
  <c r="C129" i="5"/>
  <c r="D128" i="5"/>
  <c r="E122" i="5"/>
  <c r="A123" i="5"/>
  <c r="C123" i="4"/>
  <c r="D122" i="4" s="1"/>
  <c r="I122" i="4" s="1"/>
  <c r="F122" i="4"/>
  <c r="I118" i="7"/>
  <c r="D121" i="4"/>
  <c r="I121" i="4" s="1"/>
  <c r="F119" i="7"/>
  <c r="C120" i="7"/>
  <c r="D121" i="1" l="1"/>
  <c r="I121" i="1" s="1"/>
  <c r="C122" i="1"/>
  <c r="F121" i="1"/>
  <c r="F120" i="7"/>
  <c r="C121" i="7"/>
  <c r="D120" i="7"/>
  <c r="I120" i="7" s="1"/>
  <c r="D120" i="1"/>
  <c r="I120" i="1" s="1"/>
  <c r="A122" i="7"/>
  <c r="E121" i="7"/>
  <c r="A124" i="5"/>
  <c r="E123" i="5"/>
  <c r="D119" i="7"/>
  <c r="I119" i="7" s="1"/>
  <c r="I132" i="5"/>
  <c r="E126" i="4"/>
  <c r="A127" i="4"/>
  <c r="F122" i="5"/>
  <c r="I121" i="5"/>
  <c r="C130" i="5"/>
  <c r="D129" i="5"/>
  <c r="C124" i="4"/>
  <c r="F123" i="4"/>
  <c r="C131" i="5" l="1"/>
  <c r="C122" i="7"/>
  <c r="D121" i="7"/>
  <c r="F121" i="7"/>
  <c r="C125" i="4"/>
  <c r="F124" i="4"/>
  <c r="A123" i="7"/>
  <c r="E122" i="7"/>
  <c r="A125" i="5"/>
  <c r="E124" i="5"/>
  <c r="I122" i="5"/>
  <c r="F123" i="5"/>
  <c r="D123" i="4"/>
  <c r="I123" i="4" s="1"/>
  <c r="C123" i="1"/>
  <c r="D122" i="1"/>
  <c r="I122" i="1" s="1"/>
  <c r="F122" i="1"/>
  <c r="E127" i="4"/>
  <c r="A128" i="4"/>
  <c r="I121" i="7" l="1"/>
  <c r="F124" i="5"/>
  <c r="I123" i="5"/>
  <c r="A126" i="5"/>
  <c r="E125" i="5"/>
  <c r="A124" i="7"/>
  <c r="E123" i="7"/>
  <c r="C126" i="4"/>
  <c r="D125" i="4"/>
  <c r="I125" i="4" s="1"/>
  <c r="F125" i="4"/>
  <c r="F122" i="7"/>
  <c r="C123" i="7"/>
  <c r="D122" i="7"/>
  <c r="C133" i="5"/>
  <c r="D130" i="5"/>
  <c r="A129" i="4"/>
  <c r="E128" i="4"/>
  <c r="C124" i="1"/>
  <c r="D123" i="1"/>
  <c r="I123" i="1" s="1"/>
  <c r="F123" i="1"/>
  <c r="D124" i="4"/>
  <c r="I124" i="4" s="1"/>
  <c r="D133" i="5" l="1"/>
  <c r="C127" i="4"/>
  <c r="F126" i="4"/>
  <c r="D126" i="4"/>
  <c r="I126" i="4" s="1"/>
  <c r="F125" i="5"/>
  <c r="I124" i="5"/>
  <c r="E124" i="7"/>
  <c r="A125" i="7"/>
  <c r="I122" i="7"/>
  <c r="D132" i="7"/>
  <c r="C124" i="7"/>
  <c r="F123" i="7"/>
  <c r="D123" i="7"/>
  <c r="A127" i="5"/>
  <c r="E126" i="5"/>
  <c r="C125" i="1"/>
  <c r="D124" i="1"/>
  <c r="I124" i="1" s="1"/>
  <c r="F124" i="1"/>
  <c r="E129" i="4"/>
  <c r="A130" i="4"/>
  <c r="E127" i="5" l="1"/>
  <c r="A128" i="5"/>
  <c r="C125" i="7"/>
  <c r="D124" i="7"/>
  <c r="F124" i="7"/>
  <c r="C128" i="4"/>
  <c r="D127" i="4"/>
  <c r="I127" i="4" s="1"/>
  <c r="F127" i="4"/>
  <c r="A131" i="4"/>
  <c r="E131" i="4" s="1"/>
  <c r="E130" i="4"/>
  <c r="I123" i="7"/>
  <c r="C126" i="1"/>
  <c r="D125" i="1"/>
  <c r="I125" i="1" s="1"/>
  <c r="F125" i="1"/>
  <c r="I132" i="7"/>
  <c r="F126" i="5"/>
  <c r="I125" i="5"/>
  <c r="A126" i="7"/>
  <c r="E125" i="7"/>
  <c r="C126" i="7" l="1"/>
  <c r="F125" i="7"/>
  <c r="D125" i="7"/>
  <c r="C127" i="1"/>
  <c r="F126" i="1"/>
  <c r="A129" i="5"/>
  <c r="E128" i="5"/>
  <c r="C129" i="4"/>
  <c r="F128" i="4"/>
  <c r="D128" i="4"/>
  <c r="I128" i="4" s="1"/>
  <c r="A127" i="7"/>
  <c r="E126" i="7"/>
  <c r="I124" i="7"/>
  <c r="F127" i="5"/>
  <c r="I126" i="5"/>
  <c r="C128" i="1" l="1"/>
  <c r="D127" i="1" s="1"/>
  <c r="F127" i="1"/>
  <c r="A128" i="7"/>
  <c r="E127" i="7"/>
  <c r="I125" i="7"/>
  <c r="F128" i="5"/>
  <c r="I127" i="5"/>
  <c r="F126" i="7"/>
  <c r="C127" i="7"/>
  <c r="D126" i="7"/>
  <c r="D126" i="1"/>
  <c r="C130" i="4"/>
  <c r="F129" i="4"/>
  <c r="E129" i="5"/>
  <c r="A130" i="5"/>
  <c r="I127" i="1" l="1"/>
  <c r="I126" i="7"/>
  <c r="A129" i="7"/>
  <c r="E128" i="7"/>
  <c r="I128" i="5"/>
  <c r="F129" i="5"/>
  <c r="C131" i="4"/>
  <c r="F130" i="4"/>
  <c r="C128" i="7"/>
  <c r="D127" i="7"/>
  <c r="F127" i="7"/>
  <c r="D129" i="4"/>
  <c r="I129" i="4" s="1"/>
  <c r="I126" i="1"/>
  <c r="D132" i="1"/>
  <c r="E130" i="5"/>
  <c r="A131" i="5"/>
  <c r="E131" i="5" s="1"/>
  <c r="C129" i="1"/>
  <c r="F128" i="1"/>
  <c r="I127" i="7" l="1"/>
  <c r="F128" i="7"/>
  <c r="C129" i="7"/>
  <c r="D128" i="7"/>
  <c r="C133" i="4"/>
  <c r="F131" i="4"/>
  <c r="D129" i="1"/>
  <c r="I129" i="1" s="1"/>
  <c r="C130" i="1"/>
  <c r="F129" i="1"/>
  <c r="D128" i="1"/>
  <c r="A130" i="7"/>
  <c r="E129" i="7"/>
  <c r="I129" i="5"/>
  <c r="F130" i="5"/>
  <c r="I132" i="1"/>
  <c r="F131" i="5"/>
  <c r="G131" i="5" s="1"/>
  <c r="I130" i="5"/>
  <c r="J130" i="5" s="1"/>
  <c r="D130" i="4"/>
  <c r="D132" i="4" l="1"/>
  <c r="I130" i="4"/>
  <c r="I128" i="7"/>
  <c r="C130" i="7"/>
  <c r="F129" i="7"/>
  <c r="D129" i="7"/>
  <c r="I129" i="7" s="1"/>
  <c r="J129" i="5"/>
  <c r="J128" i="5" s="1"/>
  <c r="J127" i="5" s="1"/>
  <c r="J126" i="5" s="1"/>
  <c r="J125" i="5" s="1"/>
  <c r="J124" i="5" s="1"/>
  <c r="J123" i="5" s="1"/>
  <c r="J122" i="5" s="1"/>
  <c r="J121" i="5" s="1"/>
  <c r="K130" i="5"/>
  <c r="A131" i="7"/>
  <c r="E131" i="7" s="1"/>
  <c r="E130" i="7"/>
  <c r="G130" i="5"/>
  <c r="G129" i="5" s="1"/>
  <c r="G128" i="5" s="1"/>
  <c r="G127" i="5" s="1"/>
  <c r="G126" i="5" s="1"/>
  <c r="G125" i="5" s="1"/>
  <c r="G124" i="5" s="1"/>
  <c r="G123" i="5" s="1"/>
  <c r="G122" i="5" s="1"/>
  <c r="G121" i="5" s="1"/>
  <c r="H131" i="5"/>
  <c r="H130" i="5" s="1"/>
  <c r="H129" i="5" s="1"/>
  <c r="H128" i="5" s="1"/>
  <c r="H127" i="5" s="1"/>
  <c r="H126" i="5" s="1"/>
  <c r="H125" i="5" s="1"/>
  <c r="H124" i="5" s="1"/>
  <c r="H123" i="5" s="1"/>
  <c r="H122" i="5" s="1"/>
  <c r="H121" i="5" s="1"/>
  <c r="I128" i="1"/>
  <c r="G131" i="4"/>
  <c r="C131" i="1"/>
  <c r="F131" i="1" s="1"/>
  <c r="G131" i="1" s="1"/>
  <c r="F130" i="1"/>
  <c r="C133" i="1"/>
  <c r="F130" i="7" l="1"/>
  <c r="C131" i="7"/>
  <c r="H131" i="1"/>
  <c r="G130" i="1"/>
  <c r="G129" i="1" s="1"/>
  <c r="G128" i="1" s="1"/>
  <c r="G127" i="1" s="1"/>
  <c r="D130" i="1"/>
  <c r="G130" i="4"/>
  <c r="H131" i="4"/>
  <c r="F134" i="4" s="1"/>
  <c r="J130" i="4"/>
  <c r="I132" i="4"/>
  <c r="J120" i="5"/>
  <c r="G120" i="5"/>
  <c r="F134" i="5"/>
  <c r="K129" i="5"/>
  <c r="K128" i="5" s="1"/>
  <c r="K127" i="5" s="1"/>
  <c r="K126" i="5" s="1"/>
  <c r="K125" i="5" s="1"/>
  <c r="K124" i="5" s="1"/>
  <c r="K123" i="5" s="1"/>
  <c r="K122" i="5" s="1"/>
  <c r="K121" i="5" s="1"/>
  <c r="I134" i="5" s="1"/>
  <c r="I130" i="1" l="1"/>
  <c r="J130" i="1" s="1"/>
  <c r="D133" i="1"/>
  <c r="J119" i="5"/>
  <c r="J118" i="5" s="1"/>
  <c r="J117" i="5" s="1"/>
  <c r="J116" i="5" s="1"/>
  <c r="J115" i="5" s="1"/>
  <c r="J114" i="5" s="1"/>
  <c r="J113" i="5" s="1"/>
  <c r="J112" i="5" s="1"/>
  <c r="J111" i="5" s="1"/>
  <c r="J110" i="5" s="1"/>
  <c r="J109" i="5" s="1"/>
  <c r="J108" i="5" s="1"/>
  <c r="J107" i="5" s="1"/>
  <c r="J106" i="5" s="1"/>
  <c r="J105" i="5" s="1"/>
  <c r="J104" i="5" s="1"/>
  <c r="J103" i="5" s="1"/>
  <c r="J102" i="5" s="1"/>
  <c r="J101" i="5" s="1"/>
  <c r="J100" i="5" s="1"/>
  <c r="J99" i="5" s="1"/>
  <c r="J98" i="5" s="1"/>
  <c r="J97" i="5" s="1"/>
  <c r="J96" i="5" s="1"/>
  <c r="J95" i="5" s="1"/>
  <c r="J94" i="5" s="1"/>
  <c r="J93" i="5" s="1"/>
  <c r="J92" i="5" s="1"/>
  <c r="J91" i="5" s="1"/>
  <c r="J90" i="5" s="1"/>
  <c r="J89" i="5" s="1"/>
  <c r="J88" i="5" s="1"/>
  <c r="J87" i="5" s="1"/>
  <c r="J86" i="5" s="1"/>
  <c r="J85" i="5" s="1"/>
  <c r="J84" i="5" s="1"/>
  <c r="J83" i="5" s="1"/>
  <c r="J82" i="5" s="1"/>
  <c r="J81" i="5" s="1"/>
  <c r="J80" i="5" s="1"/>
  <c r="J79" i="5" s="1"/>
  <c r="J78" i="5" s="1"/>
  <c r="J77" i="5" s="1"/>
  <c r="J76" i="5" s="1"/>
  <c r="J75" i="5" s="1"/>
  <c r="J74" i="5" s="1"/>
  <c r="J73" i="5" s="1"/>
  <c r="J72" i="5" s="1"/>
  <c r="J71" i="5" s="1"/>
  <c r="J70" i="5" s="1"/>
  <c r="J69" i="5" s="1"/>
  <c r="J68" i="5" s="1"/>
  <c r="J67" i="5" s="1"/>
  <c r="J66" i="5" s="1"/>
  <c r="J65" i="5" s="1"/>
  <c r="J64" i="5" s="1"/>
  <c r="J63" i="5" s="1"/>
  <c r="J62" i="5" s="1"/>
  <c r="J61" i="5" s="1"/>
  <c r="J60" i="5" s="1"/>
  <c r="J59" i="5" s="1"/>
  <c r="J58" i="5" s="1"/>
  <c r="J57" i="5" s="1"/>
  <c r="J56" i="5" s="1"/>
  <c r="J55" i="5" s="1"/>
  <c r="J54" i="5" s="1"/>
  <c r="J53" i="5" s="1"/>
  <c r="J52" i="5" s="1"/>
  <c r="J51" i="5" s="1"/>
  <c r="J50" i="5" s="1"/>
  <c r="J49" i="5" s="1"/>
  <c r="J48" i="5" s="1"/>
  <c r="J47" i="5" s="1"/>
  <c r="J46" i="5" s="1"/>
  <c r="J45" i="5" s="1"/>
  <c r="J44" i="5" s="1"/>
  <c r="J43" i="5" s="1"/>
  <c r="J42" i="5" s="1"/>
  <c r="J41" i="5" s="1"/>
  <c r="J40" i="5" s="1"/>
  <c r="J39" i="5" s="1"/>
  <c r="J38" i="5" s="1"/>
  <c r="J37" i="5" s="1"/>
  <c r="J36" i="5" s="1"/>
  <c r="J35" i="5" s="1"/>
  <c r="J34" i="5" s="1"/>
  <c r="J33" i="5" s="1"/>
  <c r="J32" i="5" s="1"/>
  <c r="J31" i="5" s="1"/>
  <c r="J30" i="5" s="1"/>
  <c r="J29" i="5" s="1"/>
  <c r="J28" i="5" s="1"/>
  <c r="J27" i="5" s="1"/>
  <c r="J26" i="5" s="1"/>
  <c r="J25" i="5" s="1"/>
  <c r="J24" i="5" s="1"/>
  <c r="J23" i="5" s="1"/>
  <c r="J22" i="5" s="1"/>
  <c r="J21" i="5" s="1"/>
  <c r="J20" i="5" s="1"/>
  <c r="J19" i="5" s="1"/>
  <c r="J18" i="5" s="1"/>
  <c r="J17" i="5" s="1"/>
  <c r="J16" i="5" s="1"/>
  <c r="J15" i="5" s="1"/>
  <c r="J14" i="5" s="1"/>
  <c r="J13" i="5" s="1"/>
  <c r="J12" i="5" s="1"/>
  <c r="J11" i="5" s="1"/>
  <c r="J10" i="5" s="1"/>
  <c r="J9" i="5" s="1"/>
  <c r="J8" i="5" s="1"/>
  <c r="J7" i="5" s="1"/>
  <c r="J6" i="5" s="1"/>
  <c r="J5" i="5" s="1"/>
  <c r="J4" i="5" s="1"/>
  <c r="F131" i="7"/>
  <c r="G131" i="7" s="1"/>
  <c r="C133" i="7"/>
  <c r="G129" i="4"/>
  <c r="G128" i="4" s="1"/>
  <c r="G127" i="4" s="1"/>
  <c r="G126" i="4" s="1"/>
  <c r="G125" i="4" s="1"/>
  <c r="G124" i="4" s="1"/>
  <c r="G123" i="4" s="1"/>
  <c r="G122" i="4" s="1"/>
  <c r="G121" i="4" s="1"/>
  <c r="G120" i="4" s="1"/>
  <c r="G119" i="4" s="1"/>
  <c r="G118" i="4" s="1"/>
  <c r="G117" i="4" s="1"/>
  <c r="G116" i="4" s="1"/>
  <c r="G115" i="4" s="1"/>
  <c r="G114" i="4" s="1"/>
  <c r="G113" i="4" s="1"/>
  <c r="G112" i="4" s="1"/>
  <c r="G111" i="4" s="1"/>
  <c r="G110" i="4" s="1"/>
  <c r="G109" i="4" s="1"/>
  <c r="G108" i="4" s="1"/>
  <c r="G107" i="4" s="1"/>
  <c r="G106" i="4" s="1"/>
  <c r="G105" i="4" s="1"/>
  <c r="G104" i="4" s="1"/>
  <c r="G103" i="4" s="1"/>
  <c r="G102" i="4" s="1"/>
  <c r="G101" i="4" s="1"/>
  <c r="G100" i="4" s="1"/>
  <c r="G99" i="4" s="1"/>
  <c r="G98" i="4" s="1"/>
  <c r="G97" i="4" s="1"/>
  <c r="G96" i="4" s="1"/>
  <c r="G95" i="4" s="1"/>
  <c r="G94" i="4" s="1"/>
  <c r="G93" i="4" s="1"/>
  <c r="G92" i="4" s="1"/>
  <c r="G91" i="4" s="1"/>
  <c r="G90" i="4" s="1"/>
  <c r="G89" i="4" s="1"/>
  <c r="G88" i="4" s="1"/>
  <c r="G87" i="4" s="1"/>
  <c r="G86" i="4" s="1"/>
  <c r="G85" i="4" s="1"/>
  <c r="G84" i="4" s="1"/>
  <c r="G83" i="4" s="1"/>
  <c r="G82" i="4" s="1"/>
  <c r="G81" i="4" s="1"/>
  <c r="G80" i="4" s="1"/>
  <c r="G79" i="4" s="1"/>
  <c r="G78" i="4" s="1"/>
  <c r="G77" i="4" s="1"/>
  <c r="G76" i="4" s="1"/>
  <c r="G75" i="4" s="1"/>
  <c r="G74" i="4" s="1"/>
  <c r="G73" i="4" s="1"/>
  <c r="G72" i="4" s="1"/>
  <c r="G71" i="4" s="1"/>
  <c r="G70" i="4" s="1"/>
  <c r="G69" i="4" s="1"/>
  <c r="G68" i="4" s="1"/>
  <c r="G67" i="4" s="1"/>
  <c r="G66" i="4" s="1"/>
  <c r="G65" i="4" s="1"/>
  <c r="G64" i="4" s="1"/>
  <c r="G63" i="4" s="1"/>
  <c r="G62" i="4" s="1"/>
  <c r="G61" i="4" s="1"/>
  <c r="G60" i="4" s="1"/>
  <c r="G59" i="4" s="1"/>
  <c r="G58" i="4" s="1"/>
  <c r="G57" i="4" s="1"/>
  <c r="G56" i="4" s="1"/>
  <c r="G55" i="4" s="1"/>
  <c r="G54" i="4" s="1"/>
  <c r="G53" i="4" s="1"/>
  <c r="G52" i="4" s="1"/>
  <c r="G51" i="4" s="1"/>
  <c r="G50" i="4" s="1"/>
  <c r="G49" i="4" s="1"/>
  <c r="G48" i="4" s="1"/>
  <c r="G47" i="4" s="1"/>
  <c r="G46" i="4" s="1"/>
  <c r="G45" i="4" s="1"/>
  <c r="G44" i="4" s="1"/>
  <c r="G43" i="4" s="1"/>
  <c r="G42" i="4" s="1"/>
  <c r="G41" i="4" s="1"/>
  <c r="G40" i="4" s="1"/>
  <c r="G39" i="4" s="1"/>
  <c r="G38" i="4" s="1"/>
  <c r="G37" i="4" s="1"/>
  <c r="G36" i="4" s="1"/>
  <c r="G35" i="4" s="1"/>
  <c r="G34" i="4" s="1"/>
  <c r="G33" i="4" s="1"/>
  <c r="G32" i="4" s="1"/>
  <c r="G31" i="4" s="1"/>
  <c r="G30" i="4" s="1"/>
  <c r="G29" i="4" s="1"/>
  <c r="G28" i="4" s="1"/>
  <c r="G27" i="4" s="1"/>
  <c r="G26" i="4" s="1"/>
  <c r="G25" i="4" s="1"/>
  <c r="G24" i="4" s="1"/>
  <c r="G23" i="4" s="1"/>
  <c r="G22" i="4" s="1"/>
  <c r="G21" i="4" s="1"/>
  <c r="G20" i="4" s="1"/>
  <c r="G19" i="4" s="1"/>
  <c r="G18" i="4" s="1"/>
  <c r="G17" i="4" s="1"/>
  <c r="G16" i="4" s="1"/>
  <c r="G15" i="4" s="1"/>
  <c r="G14" i="4" s="1"/>
  <c r="G13" i="4" s="1"/>
  <c r="G12" i="4" s="1"/>
  <c r="G11" i="4" s="1"/>
  <c r="G10" i="4" s="1"/>
  <c r="G9" i="4" s="1"/>
  <c r="G8" i="4" s="1"/>
  <c r="G7" i="4" s="1"/>
  <c r="G6" i="4" s="1"/>
  <c r="G5" i="4" s="1"/>
  <c r="G4" i="4" s="1"/>
  <c r="G119" i="5"/>
  <c r="G118" i="5" s="1"/>
  <c r="G117" i="5" s="1"/>
  <c r="G116" i="5" s="1"/>
  <c r="G115" i="5" s="1"/>
  <c r="G114" i="5" s="1"/>
  <c r="G113" i="5" s="1"/>
  <c r="G112" i="5" s="1"/>
  <c r="G111" i="5" s="1"/>
  <c r="G110" i="5" s="1"/>
  <c r="G109" i="5" s="1"/>
  <c r="G108" i="5" s="1"/>
  <c r="G107" i="5" s="1"/>
  <c r="G106" i="5" s="1"/>
  <c r="G105" i="5" s="1"/>
  <c r="G104" i="5" s="1"/>
  <c r="G103" i="5" s="1"/>
  <c r="G102" i="5" s="1"/>
  <c r="G101" i="5" s="1"/>
  <c r="G100" i="5" s="1"/>
  <c r="G99" i="5" s="1"/>
  <c r="G98" i="5" s="1"/>
  <c r="G97" i="5" s="1"/>
  <c r="G96" i="5" s="1"/>
  <c r="G95" i="5" s="1"/>
  <c r="G94" i="5" s="1"/>
  <c r="G93" i="5" s="1"/>
  <c r="G92" i="5" s="1"/>
  <c r="G91" i="5" s="1"/>
  <c r="G90" i="5" s="1"/>
  <c r="G89" i="5" s="1"/>
  <c r="G88" i="5" s="1"/>
  <c r="G87" i="5" s="1"/>
  <c r="G86" i="5" s="1"/>
  <c r="G85" i="5" s="1"/>
  <c r="G84" i="5" s="1"/>
  <c r="G83" i="5" s="1"/>
  <c r="G82" i="5" s="1"/>
  <c r="G81" i="5" s="1"/>
  <c r="G80" i="5" s="1"/>
  <c r="G79" i="5" s="1"/>
  <c r="G78" i="5" s="1"/>
  <c r="G77" i="5" s="1"/>
  <c r="G76" i="5" s="1"/>
  <c r="G75" i="5" s="1"/>
  <c r="G74" i="5" s="1"/>
  <c r="G73" i="5" s="1"/>
  <c r="G72" i="5" s="1"/>
  <c r="G71" i="5" s="1"/>
  <c r="G70" i="5" s="1"/>
  <c r="G69" i="5" s="1"/>
  <c r="G68" i="5" s="1"/>
  <c r="G67" i="5" s="1"/>
  <c r="G66" i="5" s="1"/>
  <c r="G65" i="5" s="1"/>
  <c r="G64" i="5" s="1"/>
  <c r="G63" i="5" s="1"/>
  <c r="G62" i="5" s="1"/>
  <c r="G61" i="5" s="1"/>
  <c r="G60" i="5" s="1"/>
  <c r="G59" i="5" s="1"/>
  <c r="G58" i="5" s="1"/>
  <c r="G57" i="5" s="1"/>
  <c r="G56" i="5" s="1"/>
  <c r="G55" i="5" s="1"/>
  <c r="G54" i="5" s="1"/>
  <c r="G53" i="5" s="1"/>
  <c r="G52" i="5" s="1"/>
  <c r="G51" i="5" s="1"/>
  <c r="G50" i="5" s="1"/>
  <c r="G49" i="5" s="1"/>
  <c r="G48" i="5" s="1"/>
  <c r="G47" i="5" s="1"/>
  <c r="G46" i="5" s="1"/>
  <c r="G45" i="5" s="1"/>
  <c r="G44" i="5" s="1"/>
  <c r="G43" i="5" s="1"/>
  <c r="G42" i="5" s="1"/>
  <c r="G41" i="5" s="1"/>
  <c r="G40" i="5" s="1"/>
  <c r="G39" i="5" s="1"/>
  <c r="G38" i="5" s="1"/>
  <c r="G37" i="5" s="1"/>
  <c r="G36" i="5" s="1"/>
  <c r="G35" i="5" s="1"/>
  <c r="G34" i="5" s="1"/>
  <c r="G33" i="5" s="1"/>
  <c r="G32" i="5" s="1"/>
  <c r="G31" i="5" s="1"/>
  <c r="G30" i="5" s="1"/>
  <c r="G29" i="5" s="1"/>
  <c r="G28" i="5" s="1"/>
  <c r="G27" i="5" s="1"/>
  <c r="G26" i="5" s="1"/>
  <c r="G25" i="5" s="1"/>
  <c r="G24" i="5" s="1"/>
  <c r="G23" i="5" s="1"/>
  <c r="G22" i="5" s="1"/>
  <c r="G21" i="5" s="1"/>
  <c r="G20" i="5" s="1"/>
  <c r="G19" i="5" s="1"/>
  <c r="G18" i="5" s="1"/>
  <c r="G17" i="5" s="1"/>
  <c r="G16" i="5" s="1"/>
  <c r="G15" i="5" s="1"/>
  <c r="G14" i="5" s="1"/>
  <c r="G13" i="5" s="1"/>
  <c r="G12" i="5" s="1"/>
  <c r="G11" i="5" s="1"/>
  <c r="G10" i="5" s="1"/>
  <c r="G9" i="5" s="1"/>
  <c r="G8" i="5" s="1"/>
  <c r="G7" i="5" s="1"/>
  <c r="G6" i="5" s="1"/>
  <c r="G5" i="5" s="1"/>
  <c r="G4" i="5" s="1"/>
  <c r="G126" i="1"/>
  <c r="H130" i="1"/>
  <c r="H129" i="1" s="1"/>
  <c r="H128" i="1" s="1"/>
  <c r="H127" i="1" s="1"/>
  <c r="H126" i="1" s="1"/>
  <c r="D130" i="7"/>
  <c r="K120" i="5"/>
  <c r="K119" i="5" s="1"/>
  <c r="K118" i="5" s="1"/>
  <c r="K117" i="5" s="1"/>
  <c r="K116" i="5" s="1"/>
  <c r="K115" i="5" s="1"/>
  <c r="K114" i="5" s="1"/>
  <c r="K113" i="5" s="1"/>
  <c r="K112" i="5" s="1"/>
  <c r="K111" i="5" s="1"/>
  <c r="K110" i="5" s="1"/>
  <c r="K109" i="5" s="1"/>
  <c r="K108" i="5" s="1"/>
  <c r="K107" i="5" s="1"/>
  <c r="K106" i="5" s="1"/>
  <c r="K105" i="5" s="1"/>
  <c r="K104" i="5" s="1"/>
  <c r="K103" i="5" s="1"/>
  <c r="K102" i="5" s="1"/>
  <c r="K101" i="5" s="1"/>
  <c r="K100" i="5" s="1"/>
  <c r="K99" i="5" s="1"/>
  <c r="K98" i="5" s="1"/>
  <c r="K97" i="5" s="1"/>
  <c r="K96" i="5" s="1"/>
  <c r="K95" i="5" s="1"/>
  <c r="K94" i="5" s="1"/>
  <c r="K93" i="5" s="1"/>
  <c r="K92" i="5" s="1"/>
  <c r="K91" i="5" s="1"/>
  <c r="K90" i="5" s="1"/>
  <c r="K89" i="5" s="1"/>
  <c r="K88" i="5" s="1"/>
  <c r="K87" i="5" s="1"/>
  <c r="K86" i="5" s="1"/>
  <c r="K85" i="5" s="1"/>
  <c r="K84" i="5" s="1"/>
  <c r="K83" i="5" s="1"/>
  <c r="K82" i="5" s="1"/>
  <c r="K81" i="5" s="1"/>
  <c r="K80" i="5" s="1"/>
  <c r="K79" i="5" s="1"/>
  <c r="K78" i="5" s="1"/>
  <c r="K77" i="5" s="1"/>
  <c r="K76" i="5" s="1"/>
  <c r="K75" i="5" s="1"/>
  <c r="K74" i="5" s="1"/>
  <c r="K73" i="5" s="1"/>
  <c r="K72" i="5" s="1"/>
  <c r="K71" i="5" s="1"/>
  <c r="K70" i="5" s="1"/>
  <c r="K69" i="5" s="1"/>
  <c r="K68" i="5" s="1"/>
  <c r="K67" i="5" s="1"/>
  <c r="K66" i="5" s="1"/>
  <c r="K65" i="5" s="1"/>
  <c r="K64" i="5" s="1"/>
  <c r="K63" i="5" s="1"/>
  <c r="K62" i="5" s="1"/>
  <c r="K61" i="5" s="1"/>
  <c r="K60" i="5" s="1"/>
  <c r="K59" i="5" s="1"/>
  <c r="K58" i="5" s="1"/>
  <c r="K57" i="5" s="1"/>
  <c r="K56" i="5" s="1"/>
  <c r="K55" i="5" s="1"/>
  <c r="K54" i="5" s="1"/>
  <c r="K53" i="5" s="1"/>
  <c r="K52" i="5" s="1"/>
  <c r="K51" i="5" s="1"/>
  <c r="K50" i="5" s="1"/>
  <c r="K49" i="5" s="1"/>
  <c r="K48" i="5" s="1"/>
  <c r="K47" i="5" s="1"/>
  <c r="K46" i="5" s="1"/>
  <c r="K45" i="5" s="1"/>
  <c r="K44" i="5" s="1"/>
  <c r="K43" i="5" s="1"/>
  <c r="K42" i="5" s="1"/>
  <c r="K41" i="5" s="1"/>
  <c r="K40" i="5" s="1"/>
  <c r="K39" i="5" s="1"/>
  <c r="K38" i="5" s="1"/>
  <c r="K37" i="5" s="1"/>
  <c r="K36" i="5" s="1"/>
  <c r="K35" i="5" s="1"/>
  <c r="K34" i="5" s="1"/>
  <c r="K33" i="5" s="1"/>
  <c r="K32" i="5" s="1"/>
  <c r="K31" i="5" s="1"/>
  <c r="K30" i="5" s="1"/>
  <c r="K29" i="5" s="1"/>
  <c r="K28" i="5" s="1"/>
  <c r="K27" i="5" s="1"/>
  <c r="K26" i="5" s="1"/>
  <c r="K25" i="5" s="1"/>
  <c r="K24" i="5" s="1"/>
  <c r="K23" i="5" s="1"/>
  <c r="K22" i="5" s="1"/>
  <c r="K21" i="5" s="1"/>
  <c r="K20" i="5" s="1"/>
  <c r="K19" i="5" s="1"/>
  <c r="K18" i="5" s="1"/>
  <c r="K17" i="5" s="1"/>
  <c r="K16" i="5" s="1"/>
  <c r="K15" i="5" s="1"/>
  <c r="K130" i="4"/>
  <c r="J129" i="4"/>
  <c r="J128" i="4" s="1"/>
  <c r="J127" i="4" s="1"/>
  <c r="J126" i="4" s="1"/>
  <c r="J125" i="4" s="1"/>
  <c r="J124" i="4" s="1"/>
  <c r="J123" i="4" s="1"/>
  <c r="J122" i="4" s="1"/>
  <c r="J121" i="4" s="1"/>
  <c r="J120" i="4" s="1"/>
  <c r="J119" i="4" s="1"/>
  <c r="J118" i="4" s="1"/>
  <c r="J117" i="4" s="1"/>
  <c r="J116" i="4" s="1"/>
  <c r="J115" i="4" s="1"/>
  <c r="J114" i="4" s="1"/>
  <c r="J113" i="4" s="1"/>
  <c r="J112" i="4" s="1"/>
  <c r="J111" i="4" s="1"/>
  <c r="J110" i="4" s="1"/>
  <c r="J109" i="4" s="1"/>
  <c r="J108" i="4" s="1"/>
  <c r="J107" i="4" s="1"/>
  <c r="J106" i="4" s="1"/>
  <c r="J105" i="4" s="1"/>
  <c r="J104" i="4" s="1"/>
  <c r="J103" i="4" s="1"/>
  <c r="J102" i="4" s="1"/>
  <c r="J101" i="4" s="1"/>
  <c r="J100" i="4" s="1"/>
  <c r="J99" i="4" s="1"/>
  <c r="J98" i="4" s="1"/>
  <c r="J97" i="4" s="1"/>
  <c r="J96" i="4" s="1"/>
  <c r="J95" i="4" s="1"/>
  <c r="J94" i="4" s="1"/>
  <c r="J93" i="4" s="1"/>
  <c r="J92" i="4" s="1"/>
  <c r="J91" i="4" s="1"/>
  <c r="J90" i="4" s="1"/>
  <c r="J89" i="4" s="1"/>
  <c r="J88" i="4" s="1"/>
  <c r="J87" i="4" s="1"/>
  <c r="J86" i="4" s="1"/>
  <c r="J85" i="4" s="1"/>
  <c r="J84" i="4" s="1"/>
  <c r="J83" i="4" s="1"/>
  <c r="J82" i="4" s="1"/>
  <c r="J81" i="4" s="1"/>
  <c r="J80" i="4" s="1"/>
  <c r="J79" i="4" s="1"/>
  <c r="J78" i="4" s="1"/>
  <c r="J77" i="4" s="1"/>
  <c r="J76" i="4" s="1"/>
  <c r="J75" i="4" s="1"/>
  <c r="J74" i="4" s="1"/>
  <c r="J73" i="4" s="1"/>
  <c r="J72" i="4" s="1"/>
  <c r="J71" i="4" s="1"/>
  <c r="J70" i="4" s="1"/>
  <c r="J69" i="4" s="1"/>
  <c r="J68" i="4" s="1"/>
  <c r="J67" i="4" s="1"/>
  <c r="J66" i="4" s="1"/>
  <c r="J65" i="4" s="1"/>
  <c r="J64" i="4" s="1"/>
  <c r="J63" i="4" s="1"/>
  <c r="J62" i="4" s="1"/>
  <c r="J61" i="4" s="1"/>
  <c r="J60" i="4" s="1"/>
  <c r="J59" i="4" s="1"/>
  <c r="J58" i="4" s="1"/>
  <c r="J57" i="4" s="1"/>
  <c r="J56" i="4" s="1"/>
  <c r="J55" i="4" s="1"/>
  <c r="J54" i="4" s="1"/>
  <c r="J53" i="4" s="1"/>
  <c r="J52" i="4" s="1"/>
  <c r="J51" i="4" s="1"/>
  <c r="J50" i="4" s="1"/>
  <c r="J49" i="4" s="1"/>
  <c r="J48" i="4" s="1"/>
  <c r="J47" i="4" s="1"/>
  <c r="J46" i="4" s="1"/>
  <c r="J45" i="4" s="1"/>
  <c r="J44" i="4" s="1"/>
  <c r="J43" i="4" s="1"/>
  <c r="J42" i="4" s="1"/>
  <c r="J41" i="4" s="1"/>
  <c r="J40" i="4" s="1"/>
  <c r="J39" i="4" s="1"/>
  <c r="J38" i="4" s="1"/>
  <c r="J37" i="4" s="1"/>
  <c r="J36" i="4" s="1"/>
  <c r="J35" i="4" s="1"/>
  <c r="J34" i="4" s="1"/>
  <c r="J33" i="4" s="1"/>
  <c r="J32" i="4" s="1"/>
  <c r="J31" i="4" s="1"/>
  <c r="J30" i="4" s="1"/>
  <c r="J29" i="4" s="1"/>
  <c r="J28" i="4" s="1"/>
  <c r="J27" i="4" s="1"/>
  <c r="J26" i="4" s="1"/>
  <c r="J25" i="4" s="1"/>
  <c r="J24" i="4" s="1"/>
  <c r="J23" i="4" s="1"/>
  <c r="J22" i="4" s="1"/>
  <c r="J21" i="4" s="1"/>
  <c r="J20" i="4" s="1"/>
  <c r="J19" i="4" s="1"/>
  <c r="J18" i="4" s="1"/>
  <c r="J17" i="4" s="1"/>
  <c r="J16" i="4" s="1"/>
  <c r="J15" i="4" s="1"/>
  <c r="J14" i="4" s="1"/>
  <c r="J13" i="4" s="1"/>
  <c r="J12" i="4" s="1"/>
  <c r="J11" i="4" s="1"/>
  <c r="J10" i="4" s="1"/>
  <c r="J9" i="4" s="1"/>
  <c r="J8" i="4" s="1"/>
  <c r="J7" i="4" s="1"/>
  <c r="J6" i="4" s="1"/>
  <c r="J5" i="4" s="1"/>
  <c r="J4" i="4" s="1"/>
  <c r="H130" i="4"/>
  <c r="F133" i="4" s="1"/>
  <c r="H120" i="5"/>
  <c r="H119" i="5" s="1"/>
  <c r="H118" i="5" s="1"/>
  <c r="H117" i="5" s="1"/>
  <c r="H116" i="5" s="1"/>
  <c r="H115" i="5" s="1"/>
  <c r="H114" i="5" s="1"/>
  <c r="H113" i="5" s="1"/>
  <c r="H112" i="5" s="1"/>
  <c r="H111" i="5" s="1"/>
  <c r="H110" i="5" s="1"/>
  <c r="H109" i="5" s="1"/>
  <c r="H108" i="5" s="1"/>
  <c r="H107" i="5" s="1"/>
  <c r="H106" i="5" s="1"/>
  <c r="H105" i="5" s="1"/>
  <c r="H104" i="5" s="1"/>
  <c r="H103" i="5" s="1"/>
  <c r="H102" i="5" s="1"/>
  <c r="H101" i="5" s="1"/>
  <c r="H100" i="5" s="1"/>
  <c r="H99" i="5" s="1"/>
  <c r="H98" i="5" s="1"/>
  <c r="H97" i="5" s="1"/>
  <c r="H96" i="5" s="1"/>
  <c r="H95" i="5" s="1"/>
  <c r="H94" i="5" s="1"/>
  <c r="H93" i="5" s="1"/>
  <c r="H92" i="5" s="1"/>
  <c r="H91" i="5" s="1"/>
  <c r="H90" i="5" s="1"/>
  <c r="H89" i="5" s="1"/>
  <c r="H88" i="5" s="1"/>
  <c r="H87" i="5" s="1"/>
  <c r="H86" i="5" s="1"/>
  <c r="H85" i="5" s="1"/>
  <c r="H84" i="5" s="1"/>
  <c r="H83" i="5" s="1"/>
  <c r="H82" i="5" s="1"/>
  <c r="H81" i="5" s="1"/>
  <c r="H80" i="5" s="1"/>
  <c r="H79" i="5" s="1"/>
  <c r="H78" i="5" s="1"/>
  <c r="H77" i="5" s="1"/>
  <c r="H76" i="5" s="1"/>
  <c r="H75" i="5" s="1"/>
  <c r="H74" i="5" s="1"/>
  <c r="H73" i="5" s="1"/>
  <c r="H72" i="5" s="1"/>
  <c r="H71" i="5" s="1"/>
  <c r="H70" i="5" s="1"/>
  <c r="H69" i="5" s="1"/>
  <c r="H68" i="5" s="1"/>
  <c r="H67" i="5" s="1"/>
  <c r="H66" i="5" s="1"/>
  <c r="H65" i="5" s="1"/>
  <c r="H64" i="5" s="1"/>
  <c r="H63" i="5" s="1"/>
  <c r="H62" i="5" s="1"/>
  <c r="H61" i="5" s="1"/>
  <c r="H60" i="5" s="1"/>
  <c r="H59" i="5" s="1"/>
  <c r="H58" i="5" s="1"/>
  <c r="H57" i="5" s="1"/>
  <c r="H56" i="5" s="1"/>
  <c r="H55" i="5" s="1"/>
  <c r="H54" i="5" s="1"/>
  <c r="H53" i="5" s="1"/>
  <c r="H52" i="5" s="1"/>
  <c r="H51" i="5" s="1"/>
  <c r="H50" i="5" s="1"/>
  <c r="H49" i="5" s="1"/>
  <c r="H48" i="5" s="1"/>
  <c r="H47" i="5" s="1"/>
  <c r="H46" i="5" s="1"/>
  <c r="H45" i="5" s="1"/>
  <c r="H44" i="5" s="1"/>
  <c r="H43" i="5" s="1"/>
  <c r="H42" i="5" s="1"/>
  <c r="H41" i="5" s="1"/>
  <c r="H40" i="5" s="1"/>
  <c r="H39" i="5" s="1"/>
  <c r="H38" i="5" s="1"/>
  <c r="H37" i="5" s="1"/>
  <c r="H36" i="5" s="1"/>
  <c r="H35" i="5" s="1"/>
  <c r="H34" i="5" s="1"/>
  <c r="H33" i="5" s="1"/>
  <c r="H32" i="5" s="1"/>
  <c r="H31" i="5" s="1"/>
  <c r="H30" i="5" s="1"/>
  <c r="H29" i="5" l="1"/>
  <c r="H28" i="5" s="1"/>
  <c r="H27" i="5" s="1"/>
  <c r="H26" i="5" s="1"/>
  <c r="H25" i="5" s="1"/>
  <c r="H24" i="5" s="1"/>
  <c r="H23" i="5" s="1"/>
  <c r="H22" i="5" s="1"/>
  <c r="H21" i="5" s="1"/>
  <c r="H20" i="5" s="1"/>
  <c r="H19" i="5" s="1"/>
  <c r="H18" i="5" s="1"/>
  <c r="H17" i="5" s="1"/>
  <c r="H16" i="5" s="1"/>
  <c r="K14" i="5"/>
  <c r="K13" i="5" s="1"/>
  <c r="K12" i="5" s="1"/>
  <c r="K11" i="5" s="1"/>
  <c r="K10" i="5" s="1"/>
  <c r="K9" i="5" s="1"/>
  <c r="K8" i="5" s="1"/>
  <c r="K7" i="5" s="1"/>
  <c r="K6" i="5" s="1"/>
  <c r="K5" i="5" s="1"/>
  <c r="K4" i="5" s="1"/>
  <c r="I130" i="7"/>
  <c r="J130" i="7" s="1"/>
  <c r="D133" i="7"/>
  <c r="K129" i="4"/>
  <c r="K128" i="4" s="1"/>
  <c r="K127" i="4" s="1"/>
  <c r="K126" i="4" s="1"/>
  <c r="K125" i="4" s="1"/>
  <c r="K124" i="4" s="1"/>
  <c r="K123" i="4" s="1"/>
  <c r="K122" i="4" s="1"/>
  <c r="K121" i="4" s="1"/>
  <c r="K120" i="4" s="1"/>
  <c r="K119" i="4" s="1"/>
  <c r="K118" i="4" s="1"/>
  <c r="K117" i="4" s="1"/>
  <c r="K116" i="4" s="1"/>
  <c r="K115" i="4" s="1"/>
  <c r="K114" i="4" s="1"/>
  <c r="K113" i="4" s="1"/>
  <c r="K112" i="4" s="1"/>
  <c r="K111" i="4" s="1"/>
  <c r="K110" i="4" s="1"/>
  <c r="K109" i="4" s="1"/>
  <c r="K108" i="4" s="1"/>
  <c r="K107" i="4" s="1"/>
  <c r="K106" i="4" s="1"/>
  <c r="K105" i="4" s="1"/>
  <c r="K104" i="4" s="1"/>
  <c r="K103" i="4" s="1"/>
  <c r="K102" i="4" s="1"/>
  <c r="K101" i="4" s="1"/>
  <c r="K100" i="4" s="1"/>
  <c r="K99" i="4" s="1"/>
  <c r="K98" i="4" s="1"/>
  <c r="K97" i="4" s="1"/>
  <c r="K96" i="4" s="1"/>
  <c r="K95" i="4" s="1"/>
  <c r="K94" i="4" s="1"/>
  <c r="K93" i="4" s="1"/>
  <c r="K92" i="4" s="1"/>
  <c r="K91" i="4" s="1"/>
  <c r="K90" i="4" s="1"/>
  <c r="K89" i="4" s="1"/>
  <c r="K88" i="4" s="1"/>
  <c r="K87" i="4" s="1"/>
  <c r="K86" i="4" s="1"/>
  <c r="K85" i="4" s="1"/>
  <c r="K84" i="4" s="1"/>
  <c r="K83" i="4" s="1"/>
  <c r="K82" i="4" s="1"/>
  <c r="K81" i="4" s="1"/>
  <c r="K80" i="4" s="1"/>
  <c r="K79" i="4" s="1"/>
  <c r="K78" i="4" s="1"/>
  <c r="K77" i="4" s="1"/>
  <c r="K76" i="4" s="1"/>
  <c r="K75" i="4" s="1"/>
  <c r="K74" i="4" s="1"/>
  <c r="K73" i="4" s="1"/>
  <c r="K72" i="4" s="1"/>
  <c r="K71" i="4" s="1"/>
  <c r="K70" i="4" s="1"/>
  <c r="K69" i="4" s="1"/>
  <c r="K68" i="4" s="1"/>
  <c r="K67" i="4" s="1"/>
  <c r="K66" i="4" s="1"/>
  <c r="K65" i="4" s="1"/>
  <c r="K64" i="4" s="1"/>
  <c r="K63" i="4" s="1"/>
  <c r="K62" i="4" s="1"/>
  <c r="K61" i="4" s="1"/>
  <c r="K60" i="4" s="1"/>
  <c r="K59" i="4" s="1"/>
  <c r="K58" i="4" s="1"/>
  <c r="K57" i="4" s="1"/>
  <c r="K56" i="4" s="1"/>
  <c r="K55" i="4" s="1"/>
  <c r="K54" i="4" s="1"/>
  <c r="K53" i="4" s="1"/>
  <c r="K52" i="4" s="1"/>
  <c r="K51" i="4" s="1"/>
  <c r="K50" i="4" s="1"/>
  <c r="K49" i="4" s="1"/>
  <c r="K48" i="4" s="1"/>
  <c r="K47" i="4" s="1"/>
  <c r="K46" i="4" s="1"/>
  <c r="K45" i="4" s="1"/>
  <c r="K44" i="4" s="1"/>
  <c r="K43" i="4" s="1"/>
  <c r="K42" i="4" s="1"/>
  <c r="K41" i="4" s="1"/>
  <c r="K40" i="4" s="1"/>
  <c r="K39" i="4" s="1"/>
  <c r="K38" i="4" s="1"/>
  <c r="K37" i="4" s="1"/>
  <c r="K36" i="4" s="1"/>
  <c r="K35" i="4" s="1"/>
  <c r="K34" i="4" s="1"/>
  <c r="K33" i="4" s="1"/>
  <c r="K32" i="4" s="1"/>
  <c r="K31" i="4" s="1"/>
  <c r="K30" i="4" s="1"/>
  <c r="K29" i="4" s="1"/>
  <c r="K28" i="4" s="1"/>
  <c r="K27" i="4" s="1"/>
  <c r="K26" i="4" s="1"/>
  <c r="K25" i="4" s="1"/>
  <c r="K24" i="4" s="1"/>
  <c r="K23" i="4" s="1"/>
  <c r="K22" i="4" s="1"/>
  <c r="K21" i="4" s="1"/>
  <c r="K20" i="4" s="1"/>
  <c r="K19" i="4" s="1"/>
  <c r="K18" i="4" s="1"/>
  <c r="K17" i="4" s="1"/>
  <c r="K16" i="4" s="1"/>
  <c r="K15" i="4" s="1"/>
  <c r="K14" i="4" s="1"/>
  <c r="K13" i="4" s="1"/>
  <c r="K12" i="4" s="1"/>
  <c r="K11" i="4" s="1"/>
  <c r="K10" i="4" s="1"/>
  <c r="K9" i="4" s="1"/>
  <c r="K8" i="4" s="1"/>
  <c r="K7" i="4" s="1"/>
  <c r="K6" i="4" s="1"/>
  <c r="K5" i="4" s="1"/>
  <c r="K4" i="4" s="1"/>
  <c r="I133" i="4"/>
  <c r="G130" i="7"/>
  <c r="G129" i="7" s="1"/>
  <c r="G128" i="7" s="1"/>
  <c r="G127" i="7" s="1"/>
  <c r="G126" i="7" s="1"/>
  <c r="G125" i="7" s="1"/>
  <c r="G124" i="7" s="1"/>
  <c r="G123" i="7" s="1"/>
  <c r="H131" i="7"/>
  <c r="H130" i="7" s="1"/>
  <c r="F134" i="1"/>
  <c r="I133" i="5"/>
  <c r="H15" i="5"/>
  <c r="H14" i="5" s="1"/>
  <c r="H13" i="5" s="1"/>
  <c r="H12" i="5" s="1"/>
  <c r="H11" i="5" s="1"/>
  <c r="H10" i="5" s="1"/>
  <c r="H9" i="5" s="1"/>
  <c r="H8" i="5" s="1"/>
  <c r="H7" i="5" s="1"/>
  <c r="H6" i="5" s="1"/>
  <c r="H5" i="5" s="1"/>
  <c r="H4" i="5" s="1"/>
  <c r="G125" i="1"/>
  <c r="G124" i="1" s="1"/>
  <c r="G123" i="1" s="1"/>
  <c r="G122" i="1" s="1"/>
  <c r="G121" i="1" s="1"/>
  <c r="G120" i="1" s="1"/>
  <c r="G119" i="1" s="1"/>
  <c r="G118" i="1" s="1"/>
  <c r="G117" i="1" s="1"/>
  <c r="G116" i="1" s="1"/>
  <c r="G115" i="1" s="1"/>
  <c r="G114" i="1" s="1"/>
  <c r="G113" i="1" s="1"/>
  <c r="G112" i="1" s="1"/>
  <c r="G111" i="1" s="1"/>
  <c r="G110" i="1" s="1"/>
  <c r="G109" i="1" s="1"/>
  <c r="G108" i="1" s="1"/>
  <c r="G107" i="1" s="1"/>
  <c r="G106" i="1" s="1"/>
  <c r="G105" i="1" s="1"/>
  <c r="G104" i="1" s="1"/>
  <c r="G103" i="1" s="1"/>
  <c r="G102" i="1" s="1"/>
  <c r="G101" i="1" s="1"/>
  <c r="G100" i="1" s="1"/>
  <c r="G99" i="1" s="1"/>
  <c r="G98" i="1" s="1"/>
  <c r="G97" i="1" s="1"/>
  <c r="G96" i="1" s="1"/>
  <c r="G95" i="1" s="1"/>
  <c r="G94" i="1" s="1"/>
  <c r="G93" i="1" s="1"/>
  <c r="G92" i="1" s="1"/>
  <c r="G91" i="1" s="1"/>
  <c r="G90" i="1" s="1"/>
  <c r="G89" i="1" s="1"/>
  <c r="G88" i="1" s="1"/>
  <c r="G87" i="1" s="1"/>
  <c r="G86" i="1" s="1"/>
  <c r="G85" i="1" s="1"/>
  <c r="G84" i="1" s="1"/>
  <c r="G83" i="1" s="1"/>
  <c r="G82" i="1" s="1"/>
  <c r="G81" i="1" s="1"/>
  <c r="G80" i="1" s="1"/>
  <c r="G79" i="1" s="1"/>
  <c r="G78" i="1" s="1"/>
  <c r="G77" i="1" s="1"/>
  <c r="G76" i="1" s="1"/>
  <c r="G75" i="1" s="1"/>
  <c r="G74" i="1" s="1"/>
  <c r="G73" i="1" s="1"/>
  <c r="G72" i="1" s="1"/>
  <c r="G71" i="1" s="1"/>
  <c r="G70" i="1" s="1"/>
  <c r="G69" i="1" s="1"/>
  <c r="G68" i="1" s="1"/>
  <c r="G67" i="1" s="1"/>
  <c r="G66" i="1" s="1"/>
  <c r="G65" i="1" s="1"/>
  <c r="G64" i="1" s="1"/>
  <c r="G63" i="1" s="1"/>
  <c r="G62" i="1" s="1"/>
  <c r="G61" i="1" s="1"/>
  <c r="G60" i="1" s="1"/>
  <c r="G59" i="1" s="1"/>
  <c r="G58" i="1" s="1"/>
  <c r="G57" i="1" s="1"/>
  <c r="G56" i="1" s="1"/>
  <c r="G55" i="1" s="1"/>
  <c r="G54" i="1" s="1"/>
  <c r="G53" i="1" s="1"/>
  <c r="G52" i="1" s="1"/>
  <c r="G51" i="1" s="1"/>
  <c r="G50" i="1" s="1"/>
  <c r="G49" i="1" s="1"/>
  <c r="G48" i="1" s="1"/>
  <c r="G47" i="1" s="1"/>
  <c r="G46" i="1" s="1"/>
  <c r="G45" i="1" s="1"/>
  <c r="G44" i="1" s="1"/>
  <c r="G43" i="1" s="1"/>
  <c r="G42" i="1" s="1"/>
  <c r="G41" i="1" s="1"/>
  <c r="G40" i="1" s="1"/>
  <c r="G39" i="1" s="1"/>
  <c r="G38" i="1" s="1"/>
  <c r="G37" i="1" s="1"/>
  <c r="G36" i="1" s="1"/>
  <c r="G35" i="1" s="1"/>
  <c r="G34" i="1" s="1"/>
  <c r="G33" i="1" s="1"/>
  <c r="G32" i="1" s="1"/>
  <c r="G31" i="1" s="1"/>
  <c r="G30" i="1" s="1"/>
  <c r="G29" i="1" s="1"/>
  <c r="G28" i="1" s="1"/>
  <c r="G27" i="1" s="1"/>
  <c r="G26" i="1" s="1"/>
  <c r="G25" i="1" s="1"/>
  <c r="G24" i="1" s="1"/>
  <c r="G23" i="1" s="1"/>
  <c r="G22" i="1" s="1"/>
  <c r="G21" i="1" s="1"/>
  <c r="G20" i="1" s="1"/>
  <c r="G19" i="1" s="1"/>
  <c r="G18" i="1" s="1"/>
  <c r="G17" i="1" s="1"/>
  <c r="G16" i="1" s="1"/>
  <c r="G15" i="1" s="1"/>
  <c r="G14" i="1" s="1"/>
  <c r="G13" i="1" s="1"/>
  <c r="G12" i="1" s="1"/>
  <c r="G11" i="1" s="1"/>
  <c r="G10" i="1" s="1"/>
  <c r="G9" i="1" s="1"/>
  <c r="G8" i="1" s="1"/>
  <c r="G7" i="1" s="1"/>
  <c r="G6" i="1" s="1"/>
  <c r="G5" i="1" s="1"/>
  <c r="G4" i="1" s="1"/>
  <c r="F133" i="1"/>
  <c r="H129" i="4"/>
  <c r="H128" i="4" s="1"/>
  <c r="H127" i="4" s="1"/>
  <c r="H126" i="4" s="1"/>
  <c r="H125" i="4" s="1"/>
  <c r="H124" i="4" s="1"/>
  <c r="H123" i="4" s="1"/>
  <c r="H122" i="4" s="1"/>
  <c r="H121" i="4" s="1"/>
  <c r="H120" i="4" s="1"/>
  <c r="H119" i="4" s="1"/>
  <c r="H118" i="4" s="1"/>
  <c r="H117" i="4" s="1"/>
  <c r="H116" i="4" s="1"/>
  <c r="H115" i="4" s="1"/>
  <c r="H114" i="4" s="1"/>
  <c r="H113" i="4" s="1"/>
  <c r="H112" i="4" s="1"/>
  <c r="H111" i="4" s="1"/>
  <c r="H110" i="4" s="1"/>
  <c r="H109" i="4" s="1"/>
  <c r="H108" i="4" s="1"/>
  <c r="H107" i="4" s="1"/>
  <c r="H106" i="4" s="1"/>
  <c r="H105" i="4" s="1"/>
  <c r="H104" i="4" s="1"/>
  <c r="H103" i="4" s="1"/>
  <c r="H102" i="4" s="1"/>
  <c r="H101" i="4" s="1"/>
  <c r="H100" i="4" s="1"/>
  <c r="H99" i="4" s="1"/>
  <c r="H98" i="4" s="1"/>
  <c r="H97" i="4" s="1"/>
  <c r="H96" i="4" s="1"/>
  <c r="H95" i="4" s="1"/>
  <c r="H94" i="4" s="1"/>
  <c r="H93" i="4" s="1"/>
  <c r="H92" i="4" s="1"/>
  <c r="H91" i="4" s="1"/>
  <c r="H90" i="4" s="1"/>
  <c r="H89" i="4" s="1"/>
  <c r="H88" i="4" s="1"/>
  <c r="H87" i="4" s="1"/>
  <c r="H86" i="4" s="1"/>
  <c r="H85" i="4" s="1"/>
  <c r="H84" i="4" s="1"/>
  <c r="H83" i="4" s="1"/>
  <c r="H82" i="4" s="1"/>
  <c r="H81" i="4" s="1"/>
  <c r="H80" i="4" s="1"/>
  <c r="H79" i="4" s="1"/>
  <c r="H78" i="4" s="1"/>
  <c r="H77" i="4" s="1"/>
  <c r="H76" i="4" s="1"/>
  <c r="H75" i="4" s="1"/>
  <c r="H74" i="4" s="1"/>
  <c r="H73" i="4" s="1"/>
  <c r="H72" i="4" s="1"/>
  <c r="H71" i="4" s="1"/>
  <c r="H70" i="4" s="1"/>
  <c r="H69" i="4" s="1"/>
  <c r="H68" i="4" s="1"/>
  <c r="H67" i="4" s="1"/>
  <c r="H66" i="4" s="1"/>
  <c r="H65" i="4" s="1"/>
  <c r="H64" i="4" s="1"/>
  <c r="H63" i="4" s="1"/>
  <c r="H62" i="4" s="1"/>
  <c r="H61" i="4" s="1"/>
  <c r="H60" i="4" s="1"/>
  <c r="H59" i="4" s="1"/>
  <c r="H58" i="4" s="1"/>
  <c r="H57" i="4" s="1"/>
  <c r="H56" i="4" s="1"/>
  <c r="H55" i="4" s="1"/>
  <c r="H54" i="4" s="1"/>
  <c r="H53" i="4" s="1"/>
  <c r="H52" i="4" s="1"/>
  <c r="H51" i="4" s="1"/>
  <c r="H50" i="4" s="1"/>
  <c r="H49" i="4" s="1"/>
  <c r="H48" i="4" s="1"/>
  <c r="H47" i="4" s="1"/>
  <c r="H46" i="4" s="1"/>
  <c r="H45" i="4" s="1"/>
  <c r="H44" i="4" s="1"/>
  <c r="H43" i="4" s="1"/>
  <c r="H42" i="4" s="1"/>
  <c r="H41" i="4" s="1"/>
  <c r="H40" i="4" s="1"/>
  <c r="H39" i="4" s="1"/>
  <c r="H38" i="4" s="1"/>
  <c r="H37" i="4" s="1"/>
  <c r="H36" i="4" s="1"/>
  <c r="H35" i="4" s="1"/>
  <c r="H34" i="4" s="1"/>
  <c r="H33" i="4" s="1"/>
  <c r="H32" i="4" s="1"/>
  <c r="H31" i="4" s="1"/>
  <c r="H30" i="4" s="1"/>
  <c r="H29" i="4" s="1"/>
  <c r="H28" i="4" s="1"/>
  <c r="H27" i="4" s="1"/>
  <c r="H26" i="4" s="1"/>
  <c r="H25" i="4" s="1"/>
  <c r="H24" i="4" s="1"/>
  <c r="H23" i="4" s="1"/>
  <c r="H22" i="4" s="1"/>
  <c r="H21" i="4" s="1"/>
  <c r="H20" i="4" s="1"/>
  <c r="H19" i="4" s="1"/>
  <c r="H18" i="4" s="1"/>
  <c r="H17" i="4" s="1"/>
  <c r="H16" i="4" s="1"/>
  <c r="H15" i="4" s="1"/>
  <c r="H14" i="4" s="1"/>
  <c r="H13" i="4" s="1"/>
  <c r="H12" i="4" s="1"/>
  <c r="H11" i="4" s="1"/>
  <c r="H10" i="4" s="1"/>
  <c r="H9" i="4" s="1"/>
  <c r="H8" i="4" s="1"/>
  <c r="H7" i="4" s="1"/>
  <c r="H6" i="4" s="1"/>
  <c r="H5" i="4" s="1"/>
  <c r="H4" i="4" s="1"/>
  <c r="F133" i="5"/>
  <c r="J129" i="1"/>
  <c r="J128" i="1" s="1"/>
  <c r="J127" i="1" s="1"/>
  <c r="K130" i="1"/>
  <c r="K129" i="1" s="1"/>
  <c r="K128" i="1" s="1"/>
  <c r="K127" i="1" s="1"/>
  <c r="H129" i="7" l="1"/>
  <c r="H128" i="7" s="1"/>
  <c r="H127" i="7" s="1"/>
  <c r="H126" i="7" s="1"/>
  <c r="H125" i="7" s="1"/>
  <c r="H124" i="7" s="1"/>
  <c r="H123" i="7" s="1"/>
  <c r="J126" i="1"/>
  <c r="K126" i="1" s="1"/>
  <c r="I134" i="1"/>
  <c r="H125" i="1"/>
  <c r="H124" i="1" s="1"/>
  <c r="H123" i="1" s="1"/>
  <c r="H122" i="1" s="1"/>
  <c r="H121" i="1" s="1"/>
  <c r="H120" i="1" s="1"/>
  <c r="H119" i="1" s="1"/>
  <c r="H118" i="1" s="1"/>
  <c r="H117" i="1" s="1"/>
  <c r="H116" i="1" s="1"/>
  <c r="H115" i="1" s="1"/>
  <c r="H114" i="1" s="1"/>
  <c r="H113" i="1" s="1"/>
  <c r="H112" i="1" s="1"/>
  <c r="H111" i="1" s="1"/>
  <c r="H110" i="1" s="1"/>
  <c r="H109" i="1" s="1"/>
  <c r="H108" i="1" s="1"/>
  <c r="H107" i="1" s="1"/>
  <c r="H106" i="1" s="1"/>
  <c r="H105" i="1" s="1"/>
  <c r="H104" i="1" s="1"/>
  <c r="H103" i="1" s="1"/>
  <c r="H102" i="1" s="1"/>
  <c r="H101" i="1" s="1"/>
  <c r="H100" i="1" s="1"/>
  <c r="H99" i="1" s="1"/>
  <c r="H98" i="1" s="1"/>
  <c r="H97" i="1" s="1"/>
  <c r="H96" i="1" s="1"/>
  <c r="H95" i="1" s="1"/>
  <c r="H94" i="1" s="1"/>
  <c r="H93" i="1" s="1"/>
  <c r="H92" i="1" s="1"/>
  <c r="H91" i="1" s="1"/>
  <c r="H90" i="1" s="1"/>
  <c r="H89" i="1" s="1"/>
  <c r="H88" i="1" s="1"/>
  <c r="H87" i="1" s="1"/>
  <c r="H86" i="1" s="1"/>
  <c r="H85" i="1" s="1"/>
  <c r="H84" i="1" s="1"/>
  <c r="H83" i="1" s="1"/>
  <c r="H82" i="1" s="1"/>
  <c r="H81" i="1" s="1"/>
  <c r="H80" i="1" s="1"/>
  <c r="H79" i="1" s="1"/>
  <c r="H78" i="1" s="1"/>
  <c r="H77" i="1" s="1"/>
  <c r="H76" i="1" s="1"/>
  <c r="H75" i="1" s="1"/>
  <c r="H74" i="1" s="1"/>
  <c r="H73" i="1" s="1"/>
  <c r="H72" i="1" s="1"/>
  <c r="H71" i="1" s="1"/>
  <c r="H70" i="1" s="1"/>
  <c r="H69" i="1" s="1"/>
  <c r="H68" i="1" s="1"/>
  <c r="H67" i="1" s="1"/>
  <c r="H66" i="1" s="1"/>
  <c r="H65" i="1" s="1"/>
  <c r="H64" i="1" s="1"/>
  <c r="H63" i="1" s="1"/>
  <c r="H62" i="1" s="1"/>
  <c r="H61" i="1" s="1"/>
  <c r="H60" i="1" s="1"/>
  <c r="H59" i="1" s="1"/>
  <c r="H58" i="1" s="1"/>
  <c r="H57" i="1" s="1"/>
  <c r="H56" i="1" s="1"/>
  <c r="H55" i="1" s="1"/>
  <c r="H54" i="1" s="1"/>
  <c r="H53" i="1" s="1"/>
  <c r="H52" i="1" s="1"/>
  <c r="H51" i="1" s="1"/>
  <c r="H50" i="1" s="1"/>
  <c r="H49" i="1" s="1"/>
  <c r="H48" i="1" s="1"/>
  <c r="H47" i="1" s="1"/>
  <c r="H46" i="1" s="1"/>
  <c r="H45" i="1" s="1"/>
  <c r="H44" i="1" s="1"/>
  <c r="H43" i="1" s="1"/>
  <c r="H42" i="1" s="1"/>
  <c r="H41" i="1" s="1"/>
  <c r="H40" i="1" s="1"/>
  <c r="H39" i="1" s="1"/>
  <c r="H38" i="1" s="1"/>
  <c r="H37" i="1" s="1"/>
  <c r="H36" i="1" s="1"/>
  <c r="H35" i="1" s="1"/>
  <c r="H34" i="1" s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G122" i="7"/>
  <c r="F134" i="7"/>
  <c r="J129" i="7"/>
  <c r="J128" i="7" s="1"/>
  <c r="J127" i="7" s="1"/>
  <c r="J126" i="7" s="1"/>
  <c r="J125" i="7" s="1"/>
  <c r="J124" i="7" s="1"/>
  <c r="J123" i="7" s="1"/>
  <c r="K130" i="7"/>
  <c r="K129" i="7" s="1"/>
  <c r="K128" i="7" s="1"/>
  <c r="K127" i="7" s="1"/>
  <c r="K126" i="7" s="1"/>
  <c r="K125" i="7" s="1"/>
  <c r="J122" i="7" l="1"/>
  <c r="K124" i="7"/>
  <c r="K123" i="7" s="1"/>
  <c r="K122" i="7" s="1"/>
  <c r="G121" i="7"/>
  <c r="G120" i="7" s="1"/>
  <c r="G119" i="7" s="1"/>
  <c r="G118" i="7" s="1"/>
  <c r="G117" i="7" s="1"/>
  <c r="G116" i="7" s="1"/>
  <c r="G115" i="7" s="1"/>
  <c r="G114" i="7" s="1"/>
  <c r="G113" i="7" s="1"/>
  <c r="G112" i="7" s="1"/>
  <c r="G111" i="7" s="1"/>
  <c r="G110" i="7" s="1"/>
  <c r="G109" i="7" s="1"/>
  <c r="G108" i="7" s="1"/>
  <c r="G107" i="7" s="1"/>
  <c r="G106" i="7" s="1"/>
  <c r="G105" i="7" s="1"/>
  <c r="G104" i="7" s="1"/>
  <c r="G103" i="7" s="1"/>
  <c r="G102" i="7" s="1"/>
  <c r="G101" i="7" s="1"/>
  <c r="G100" i="7" s="1"/>
  <c r="G99" i="7" s="1"/>
  <c r="G98" i="7" s="1"/>
  <c r="G97" i="7" s="1"/>
  <c r="G96" i="7" s="1"/>
  <c r="G95" i="7" s="1"/>
  <c r="G94" i="7" s="1"/>
  <c r="G93" i="7" s="1"/>
  <c r="G92" i="7" s="1"/>
  <c r="G91" i="7" s="1"/>
  <c r="G90" i="7" s="1"/>
  <c r="G89" i="7" s="1"/>
  <c r="G88" i="7" s="1"/>
  <c r="G87" i="7" s="1"/>
  <c r="G86" i="7" s="1"/>
  <c r="G85" i="7" s="1"/>
  <c r="G84" i="7" s="1"/>
  <c r="G83" i="7" s="1"/>
  <c r="G82" i="7" s="1"/>
  <c r="G81" i="7" s="1"/>
  <c r="G80" i="7" s="1"/>
  <c r="G79" i="7" s="1"/>
  <c r="G78" i="7" s="1"/>
  <c r="G77" i="7" s="1"/>
  <c r="G76" i="7" s="1"/>
  <c r="G75" i="7" s="1"/>
  <c r="G74" i="7" s="1"/>
  <c r="G73" i="7" s="1"/>
  <c r="G72" i="7" s="1"/>
  <c r="G71" i="7" s="1"/>
  <c r="G70" i="7" s="1"/>
  <c r="G69" i="7" s="1"/>
  <c r="J125" i="1"/>
  <c r="J124" i="1" s="1"/>
  <c r="J123" i="1" s="1"/>
  <c r="J122" i="1" s="1"/>
  <c r="J121" i="1" s="1"/>
  <c r="J120" i="1" s="1"/>
  <c r="J119" i="1" s="1"/>
  <c r="J118" i="1" s="1"/>
  <c r="J117" i="1" s="1"/>
  <c r="J116" i="1" s="1"/>
  <c r="J115" i="1" s="1"/>
  <c r="J114" i="1" s="1"/>
  <c r="J113" i="1" s="1"/>
  <c r="J112" i="1" s="1"/>
  <c r="J111" i="1" s="1"/>
  <c r="J110" i="1" s="1"/>
  <c r="J109" i="1" s="1"/>
  <c r="J108" i="1" s="1"/>
  <c r="J107" i="1" s="1"/>
  <c r="J106" i="1" s="1"/>
  <c r="J105" i="1" s="1"/>
  <c r="J104" i="1" s="1"/>
  <c r="J103" i="1" s="1"/>
  <c r="J102" i="1" s="1"/>
  <c r="J101" i="1" s="1"/>
  <c r="J100" i="1" s="1"/>
  <c r="J99" i="1" s="1"/>
  <c r="J98" i="1" s="1"/>
  <c r="J97" i="1" s="1"/>
  <c r="J96" i="1" s="1"/>
  <c r="J95" i="1" s="1"/>
  <c r="J94" i="1" s="1"/>
  <c r="J93" i="1" s="1"/>
  <c r="J92" i="1" s="1"/>
  <c r="J91" i="1" s="1"/>
  <c r="J90" i="1" s="1"/>
  <c r="J89" i="1" s="1"/>
  <c r="J88" i="1" s="1"/>
  <c r="J87" i="1" s="1"/>
  <c r="J86" i="1" s="1"/>
  <c r="J85" i="1" s="1"/>
  <c r="J84" i="1" s="1"/>
  <c r="J83" i="1" s="1"/>
  <c r="J82" i="1" s="1"/>
  <c r="J81" i="1" s="1"/>
  <c r="J80" i="1" s="1"/>
  <c r="J79" i="1" s="1"/>
  <c r="J78" i="1" s="1"/>
  <c r="J77" i="1" s="1"/>
  <c r="J76" i="1" s="1"/>
  <c r="J75" i="1" s="1"/>
  <c r="J74" i="1" s="1"/>
  <c r="J73" i="1" s="1"/>
  <c r="J72" i="1" s="1"/>
  <c r="J71" i="1" s="1"/>
  <c r="J70" i="1" s="1"/>
  <c r="J69" i="1" s="1"/>
  <c r="J68" i="1" s="1"/>
  <c r="J67" i="1" s="1"/>
  <c r="J66" i="1" s="1"/>
  <c r="J65" i="1" s="1"/>
  <c r="J64" i="1" s="1"/>
  <c r="J63" i="1" s="1"/>
  <c r="J62" i="1" s="1"/>
  <c r="J61" i="1" s="1"/>
  <c r="J60" i="1" s="1"/>
  <c r="J59" i="1" s="1"/>
  <c r="J58" i="1" s="1"/>
  <c r="J57" i="1" s="1"/>
  <c r="J56" i="1" s="1"/>
  <c r="J55" i="1" s="1"/>
  <c r="J54" i="1" s="1"/>
  <c r="J53" i="1" s="1"/>
  <c r="J52" i="1" s="1"/>
  <c r="J51" i="1" s="1"/>
  <c r="J50" i="1" s="1"/>
  <c r="J49" i="1" s="1"/>
  <c r="J48" i="1" s="1"/>
  <c r="J47" i="1" s="1"/>
  <c r="J46" i="1" s="1"/>
  <c r="J45" i="1" s="1"/>
  <c r="J44" i="1" s="1"/>
  <c r="J43" i="1" s="1"/>
  <c r="J42" i="1" s="1"/>
  <c r="J41" i="1" s="1"/>
  <c r="J40" i="1" s="1"/>
  <c r="J39" i="1" s="1"/>
  <c r="J38" i="1" s="1"/>
  <c r="J37" i="1" s="1"/>
  <c r="J36" i="1" s="1"/>
  <c r="J35" i="1" s="1"/>
  <c r="J34" i="1" s="1"/>
  <c r="J33" i="1" s="1"/>
  <c r="J32" i="1" s="1"/>
  <c r="J31" i="1" s="1"/>
  <c r="J30" i="1" s="1"/>
  <c r="J29" i="1" s="1"/>
  <c r="J28" i="1" s="1"/>
  <c r="J27" i="1" s="1"/>
  <c r="J26" i="1" s="1"/>
  <c r="J25" i="1" s="1"/>
  <c r="J24" i="1" s="1"/>
  <c r="J23" i="1" s="1"/>
  <c r="J22" i="1" s="1"/>
  <c r="J21" i="1" s="1"/>
  <c r="J20" i="1" s="1"/>
  <c r="J19" i="1" s="1"/>
  <c r="J18" i="1" s="1"/>
  <c r="J17" i="1" s="1"/>
  <c r="J16" i="1" s="1"/>
  <c r="J15" i="1" s="1"/>
  <c r="J14" i="1" s="1"/>
  <c r="J13" i="1" s="1"/>
  <c r="J12" i="1" s="1"/>
  <c r="J11" i="1" s="1"/>
  <c r="J10" i="1" s="1"/>
  <c r="J9" i="1" s="1"/>
  <c r="J8" i="1" s="1"/>
  <c r="J7" i="1" s="1"/>
  <c r="J6" i="1" s="1"/>
  <c r="J5" i="1" s="1"/>
  <c r="J4" i="1" s="1"/>
  <c r="I133" i="1"/>
  <c r="H122" i="7"/>
  <c r="F133" i="7" s="1"/>
  <c r="K125" i="1" l="1"/>
  <c r="K124" i="1" s="1"/>
  <c r="K123" i="1" s="1"/>
  <c r="K122" i="1" s="1"/>
  <c r="K121" i="1" s="1"/>
  <c r="K120" i="1" s="1"/>
  <c r="K119" i="1" s="1"/>
  <c r="K118" i="1" s="1"/>
  <c r="K117" i="1" s="1"/>
  <c r="K116" i="1" s="1"/>
  <c r="K115" i="1" s="1"/>
  <c r="K114" i="1" s="1"/>
  <c r="K113" i="1" s="1"/>
  <c r="K112" i="1" s="1"/>
  <c r="K111" i="1" s="1"/>
  <c r="K110" i="1" s="1"/>
  <c r="K109" i="1" s="1"/>
  <c r="K108" i="1" s="1"/>
  <c r="K107" i="1" s="1"/>
  <c r="K106" i="1" s="1"/>
  <c r="K105" i="1" s="1"/>
  <c r="K104" i="1" s="1"/>
  <c r="K103" i="1" s="1"/>
  <c r="K102" i="1" s="1"/>
  <c r="K101" i="1" s="1"/>
  <c r="K100" i="1" s="1"/>
  <c r="K99" i="1" s="1"/>
  <c r="K98" i="1" s="1"/>
  <c r="K97" i="1" s="1"/>
  <c r="K96" i="1" s="1"/>
  <c r="K95" i="1" s="1"/>
  <c r="K94" i="1" s="1"/>
  <c r="K93" i="1" s="1"/>
  <c r="K92" i="1" s="1"/>
  <c r="K91" i="1" s="1"/>
  <c r="K90" i="1" s="1"/>
  <c r="K89" i="1" s="1"/>
  <c r="K88" i="1" s="1"/>
  <c r="K87" i="1" s="1"/>
  <c r="K86" i="1" s="1"/>
  <c r="K85" i="1" s="1"/>
  <c r="K84" i="1" s="1"/>
  <c r="K83" i="1" s="1"/>
  <c r="K82" i="1" s="1"/>
  <c r="K81" i="1" s="1"/>
  <c r="K80" i="1" s="1"/>
  <c r="K79" i="1" s="1"/>
  <c r="K78" i="1" s="1"/>
  <c r="K77" i="1" s="1"/>
  <c r="K76" i="1" s="1"/>
  <c r="K75" i="1" s="1"/>
  <c r="K74" i="1" s="1"/>
  <c r="K73" i="1" s="1"/>
  <c r="K72" i="1" s="1"/>
  <c r="K71" i="1" s="1"/>
  <c r="K70" i="1" s="1"/>
  <c r="K69" i="1" s="1"/>
  <c r="K68" i="1" s="1"/>
  <c r="K67" i="1" s="1"/>
  <c r="K66" i="1" s="1"/>
  <c r="K65" i="1" s="1"/>
  <c r="K64" i="1" s="1"/>
  <c r="K63" i="1" s="1"/>
  <c r="K62" i="1" s="1"/>
  <c r="K61" i="1" s="1"/>
  <c r="K60" i="1" s="1"/>
  <c r="K59" i="1" s="1"/>
  <c r="K58" i="1" s="1"/>
  <c r="K57" i="1" s="1"/>
  <c r="K56" i="1" s="1"/>
  <c r="K55" i="1" s="1"/>
  <c r="K54" i="1" s="1"/>
  <c r="K53" i="1" s="1"/>
  <c r="K52" i="1" s="1"/>
  <c r="K51" i="1" s="1"/>
  <c r="K50" i="1" s="1"/>
  <c r="K49" i="1" s="1"/>
  <c r="K48" i="1" s="1"/>
  <c r="K47" i="1" s="1"/>
  <c r="K46" i="1" s="1"/>
  <c r="K45" i="1" s="1"/>
  <c r="K44" i="1" s="1"/>
  <c r="K43" i="1" s="1"/>
  <c r="K42" i="1" s="1"/>
  <c r="K41" i="1" s="1"/>
  <c r="K40" i="1" s="1"/>
  <c r="K39" i="1" s="1"/>
  <c r="K38" i="1" s="1"/>
  <c r="K37" i="1" s="1"/>
  <c r="K36" i="1" s="1"/>
  <c r="K35" i="1" s="1"/>
  <c r="K34" i="1" s="1"/>
  <c r="K33" i="1" s="1"/>
  <c r="K32" i="1" s="1"/>
  <c r="K31" i="1" s="1"/>
  <c r="K30" i="1" s="1"/>
  <c r="K29" i="1" s="1"/>
  <c r="K28" i="1" s="1"/>
  <c r="K27" i="1" s="1"/>
  <c r="K26" i="1" s="1"/>
  <c r="K25" i="1" s="1"/>
  <c r="K24" i="1" s="1"/>
  <c r="K23" i="1" s="1"/>
  <c r="K22" i="1" s="1"/>
  <c r="K21" i="1" s="1"/>
  <c r="K20" i="1" s="1"/>
  <c r="K19" i="1" s="1"/>
  <c r="K18" i="1" s="1"/>
  <c r="K17" i="1" s="1"/>
  <c r="K16" i="1" s="1"/>
  <c r="K15" i="1" s="1"/>
  <c r="K14" i="1" s="1"/>
  <c r="K13" i="1" s="1"/>
  <c r="K12" i="1" s="1"/>
  <c r="K11" i="1" s="1"/>
  <c r="K10" i="1" s="1"/>
  <c r="K9" i="1" s="1"/>
  <c r="K8" i="1" s="1"/>
  <c r="K7" i="1" s="1"/>
  <c r="K6" i="1" s="1"/>
  <c r="K5" i="1" s="1"/>
  <c r="K4" i="1" s="1"/>
  <c r="I134" i="7"/>
  <c r="G68" i="7"/>
  <c r="G67" i="7" s="1"/>
  <c r="G66" i="7" s="1"/>
  <c r="G65" i="7" s="1"/>
  <c r="G64" i="7" s="1"/>
  <c r="G63" i="7" s="1"/>
  <c r="G62" i="7" s="1"/>
  <c r="G61" i="7" s="1"/>
  <c r="G60" i="7" s="1"/>
  <c r="G59" i="7" s="1"/>
  <c r="G58" i="7" s="1"/>
  <c r="G57" i="7" s="1"/>
  <c r="G56" i="7" s="1"/>
  <c r="G55" i="7" s="1"/>
  <c r="G54" i="7" s="1"/>
  <c r="G53" i="7" s="1"/>
  <c r="G52" i="7" s="1"/>
  <c r="G51" i="7" s="1"/>
  <c r="G50" i="7" s="1"/>
  <c r="G49" i="7" s="1"/>
  <c r="H121" i="7"/>
  <c r="H120" i="7" s="1"/>
  <c r="H119" i="7" s="1"/>
  <c r="H118" i="7" s="1"/>
  <c r="H117" i="7" s="1"/>
  <c r="H116" i="7" s="1"/>
  <c r="H115" i="7" s="1"/>
  <c r="H114" i="7" s="1"/>
  <c r="H113" i="7" s="1"/>
  <c r="H112" i="7" s="1"/>
  <c r="H111" i="7" s="1"/>
  <c r="H110" i="7" s="1"/>
  <c r="H109" i="7" s="1"/>
  <c r="H108" i="7" s="1"/>
  <c r="H107" i="7" s="1"/>
  <c r="H106" i="7" s="1"/>
  <c r="H105" i="7" s="1"/>
  <c r="H104" i="7" s="1"/>
  <c r="H103" i="7" s="1"/>
  <c r="H102" i="7" s="1"/>
  <c r="H101" i="7" s="1"/>
  <c r="H100" i="7" s="1"/>
  <c r="H99" i="7" s="1"/>
  <c r="H98" i="7" s="1"/>
  <c r="H97" i="7" s="1"/>
  <c r="H96" i="7" s="1"/>
  <c r="H95" i="7" s="1"/>
  <c r="H94" i="7" s="1"/>
  <c r="H93" i="7" s="1"/>
  <c r="H92" i="7" s="1"/>
  <c r="H91" i="7" s="1"/>
  <c r="H90" i="7" s="1"/>
  <c r="H89" i="7" s="1"/>
  <c r="H88" i="7" s="1"/>
  <c r="H87" i="7" s="1"/>
  <c r="H86" i="7" s="1"/>
  <c r="H85" i="7" s="1"/>
  <c r="H84" i="7" s="1"/>
  <c r="H83" i="7" s="1"/>
  <c r="H82" i="7" s="1"/>
  <c r="H81" i="7" s="1"/>
  <c r="H80" i="7" s="1"/>
  <c r="H79" i="7" s="1"/>
  <c r="H78" i="7" s="1"/>
  <c r="H77" i="7" s="1"/>
  <c r="H76" i="7" s="1"/>
  <c r="H75" i="7" s="1"/>
  <c r="H74" i="7" s="1"/>
  <c r="H73" i="7" s="1"/>
  <c r="H72" i="7" s="1"/>
  <c r="H71" i="7" s="1"/>
  <c r="H70" i="7" s="1"/>
  <c r="H69" i="7" s="1"/>
  <c r="H68" i="7" s="1"/>
  <c r="H67" i="7" s="1"/>
  <c r="H66" i="7" s="1"/>
  <c r="H65" i="7" s="1"/>
  <c r="H64" i="7" s="1"/>
  <c r="H63" i="7" s="1"/>
  <c r="H62" i="7" s="1"/>
  <c r="H61" i="7" s="1"/>
  <c r="H60" i="7" s="1"/>
  <c r="H59" i="7" s="1"/>
  <c r="H58" i="7" s="1"/>
  <c r="H57" i="7" s="1"/>
  <c r="H56" i="7" s="1"/>
  <c r="H55" i="7" s="1"/>
  <c r="H54" i="7" s="1"/>
  <c r="H53" i="7" s="1"/>
  <c r="H52" i="7" s="1"/>
  <c r="H51" i="7" s="1"/>
  <c r="H50" i="7" s="1"/>
  <c r="H49" i="7" s="1"/>
  <c r="J121" i="7"/>
  <c r="J120" i="7" s="1"/>
  <c r="J119" i="7" s="1"/>
  <c r="J118" i="7" s="1"/>
  <c r="J117" i="7" s="1"/>
  <c r="J116" i="7" s="1"/>
  <c r="J115" i="7" s="1"/>
  <c r="J114" i="7" s="1"/>
  <c r="J113" i="7" s="1"/>
  <c r="J112" i="7" s="1"/>
  <c r="J111" i="7" s="1"/>
  <c r="J110" i="7" s="1"/>
  <c r="J109" i="7" s="1"/>
  <c r="J108" i="7" s="1"/>
  <c r="J107" i="7" s="1"/>
  <c r="J106" i="7" s="1"/>
  <c r="J105" i="7" s="1"/>
  <c r="J104" i="7" s="1"/>
  <c r="J103" i="7" s="1"/>
  <c r="J102" i="7" s="1"/>
  <c r="J101" i="7" s="1"/>
  <c r="J100" i="7" s="1"/>
  <c r="J99" i="7" s="1"/>
  <c r="J98" i="7" s="1"/>
  <c r="J97" i="7" s="1"/>
  <c r="J96" i="7" s="1"/>
  <c r="J95" i="7" s="1"/>
  <c r="J94" i="7" s="1"/>
  <c r="J93" i="7" s="1"/>
  <c r="J92" i="7" s="1"/>
  <c r="J91" i="7" s="1"/>
  <c r="J90" i="7" s="1"/>
  <c r="J89" i="7" s="1"/>
  <c r="J88" i="7" s="1"/>
  <c r="J87" i="7" s="1"/>
  <c r="J86" i="7" s="1"/>
  <c r="J85" i="7" s="1"/>
  <c r="J84" i="7" s="1"/>
  <c r="J83" i="7" s="1"/>
  <c r="J82" i="7" s="1"/>
  <c r="J81" i="7" s="1"/>
  <c r="J80" i="7" s="1"/>
  <c r="J79" i="7" s="1"/>
  <c r="J78" i="7" s="1"/>
  <c r="J77" i="7" s="1"/>
  <c r="J76" i="7" s="1"/>
  <c r="J75" i="7" s="1"/>
  <c r="J74" i="7" s="1"/>
  <c r="J73" i="7" s="1"/>
  <c r="J72" i="7" s="1"/>
  <c r="J71" i="7" s="1"/>
  <c r="J70" i="7" s="1"/>
  <c r="J69" i="7" s="1"/>
  <c r="I133" i="7"/>
  <c r="J68" i="7" l="1"/>
  <c r="G48" i="7"/>
  <c r="G47" i="7" s="1"/>
  <c r="G46" i="7" s="1"/>
  <c r="G45" i="7" s="1"/>
  <c r="G44" i="7" s="1"/>
  <c r="G43" i="7" s="1"/>
  <c r="G42" i="7" s="1"/>
  <c r="G41" i="7" s="1"/>
  <c r="G40" i="7" s="1"/>
  <c r="G39" i="7" s="1"/>
  <c r="G38" i="7" s="1"/>
  <c r="G37" i="7" s="1"/>
  <c r="G36" i="7" s="1"/>
  <c r="G35" i="7" s="1"/>
  <c r="G34" i="7" s="1"/>
  <c r="G33" i="7" s="1"/>
  <c r="G32" i="7" s="1"/>
  <c r="G31" i="7" s="1"/>
  <c r="G30" i="7" s="1"/>
  <c r="G29" i="7" s="1"/>
  <c r="G28" i="7" s="1"/>
  <c r="G27" i="7" s="1"/>
  <c r="G26" i="7" s="1"/>
  <c r="G25" i="7" s="1"/>
  <c r="G24" i="7" s="1"/>
  <c r="G23" i="7" s="1"/>
  <c r="G22" i="7" s="1"/>
  <c r="G21" i="7" s="1"/>
  <c r="G20" i="7" s="1"/>
  <c r="G19" i="7" s="1"/>
  <c r="G18" i="7" s="1"/>
  <c r="G17" i="7" s="1"/>
  <c r="G16" i="7" s="1"/>
  <c r="G15" i="7" s="1"/>
  <c r="G14" i="7" s="1"/>
  <c r="G13" i="7" s="1"/>
  <c r="G12" i="7" s="1"/>
  <c r="G11" i="7" s="1"/>
  <c r="G10" i="7" s="1"/>
  <c r="G9" i="7" s="1"/>
  <c r="G8" i="7" s="1"/>
  <c r="G7" i="7" s="1"/>
  <c r="G6" i="7" s="1"/>
  <c r="G5" i="7" s="1"/>
  <c r="G4" i="7" s="1"/>
  <c r="K121" i="7"/>
  <c r="K120" i="7" s="1"/>
  <c r="K119" i="7" s="1"/>
  <c r="K118" i="7" s="1"/>
  <c r="K117" i="7" s="1"/>
  <c r="K116" i="7" s="1"/>
  <c r="K115" i="7" s="1"/>
  <c r="K114" i="7" s="1"/>
  <c r="K113" i="7" s="1"/>
  <c r="K112" i="7" s="1"/>
  <c r="K111" i="7" s="1"/>
  <c r="K110" i="7" s="1"/>
  <c r="K109" i="7" s="1"/>
  <c r="K108" i="7" s="1"/>
  <c r="K107" i="7" s="1"/>
  <c r="K106" i="7" s="1"/>
  <c r="K105" i="7" s="1"/>
  <c r="K104" i="7" s="1"/>
  <c r="K103" i="7" s="1"/>
  <c r="K102" i="7" s="1"/>
  <c r="K101" i="7" s="1"/>
  <c r="K100" i="7" s="1"/>
  <c r="K99" i="7" s="1"/>
  <c r="K98" i="7" s="1"/>
  <c r="K97" i="7" s="1"/>
  <c r="K96" i="7" s="1"/>
  <c r="K95" i="7" s="1"/>
  <c r="K94" i="7" s="1"/>
  <c r="K93" i="7" s="1"/>
  <c r="K92" i="7" s="1"/>
  <c r="K91" i="7" s="1"/>
  <c r="K90" i="7" s="1"/>
  <c r="K89" i="7" s="1"/>
  <c r="K88" i="7" s="1"/>
  <c r="K87" i="7" s="1"/>
  <c r="K86" i="7" s="1"/>
  <c r="K85" i="7" s="1"/>
  <c r="K84" i="7" s="1"/>
  <c r="K83" i="7" s="1"/>
  <c r="K82" i="7" s="1"/>
  <c r="K81" i="7" s="1"/>
  <c r="K80" i="7" s="1"/>
  <c r="K79" i="7" s="1"/>
  <c r="K78" i="7" s="1"/>
  <c r="K77" i="7" s="1"/>
  <c r="K76" i="7" s="1"/>
  <c r="K75" i="7" s="1"/>
  <c r="K74" i="7" s="1"/>
  <c r="K73" i="7" s="1"/>
  <c r="K72" i="7" s="1"/>
  <c r="K71" i="7" s="1"/>
  <c r="K70" i="7" s="1"/>
  <c r="H48" i="7" l="1"/>
  <c r="H47" i="7" s="1"/>
  <c r="H46" i="7" s="1"/>
  <c r="H45" i="7" s="1"/>
  <c r="H44" i="7" s="1"/>
  <c r="H43" i="7" s="1"/>
  <c r="H42" i="7" s="1"/>
  <c r="H41" i="7" s="1"/>
  <c r="H40" i="7" s="1"/>
  <c r="H39" i="7" s="1"/>
  <c r="H38" i="7" s="1"/>
  <c r="H37" i="7" s="1"/>
  <c r="H36" i="7" s="1"/>
  <c r="H35" i="7" s="1"/>
  <c r="H34" i="7" s="1"/>
  <c r="H33" i="7" s="1"/>
  <c r="H32" i="7" s="1"/>
  <c r="H31" i="7" s="1"/>
  <c r="H30" i="7" s="1"/>
  <c r="H29" i="7" s="1"/>
  <c r="H28" i="7" s="1"/>
  <c r="H27" i="7" s="1"/>
  <c r="H26" i="7" s="1"/>
  <c r="H25" i="7" s="1"/>
  <c r="H24" i="7" s="1"/>
  <c r="H23" i="7" s="1"/>
  <c r="H22" i="7" s="1"/>
  <c r="H21" i="7" s="1"/>
  <c r="H20" i="7" s="1"/>
  <c r="H19" i="7" s="1"/>
  <c r="H18" i="7" s="1"/>
  <c r="H17" i="7" s="1"/>
  <c r="H16" i="7" s="1"/>
  <c r="H15" i="7" s="1"/>
  <c r="H14" i="7" s="1"/>
  <c r="H13" i="7" s="1"/>
  <c r="H12" i="7" s="1"/>
  <c r="H11" i="7" s="1"/>
  <c r="H10" i="7" s="1"/>
  <c r="H9" i="7" s="1"/>
  <c r="H8" i="7" s="1"/>
  <c r="H7" i="7" s="1"/>
  <c r="H6" i="7" s="1"/>
  <c r="H5" i="7" s="1"/>
  <c r="H4" i="7" s="1"/>
  <c r="K69" i="7"/>
  <c r="J67" i="7"/>
  <c r="J66" i="7" l="1"/>
  <c r="K68" i="7"/>
  <c r="K67" i="7" l="1"/>
  <c r="J65" i="7"/>
  <c r="J64" i="7" l="1"/>
  <c r="K66" i="7"/>
  <c r="K65" i="7" l="1"/>
  <c r="J63" i="7"/>
  <c r="K64" i="7" l="1"/>
  <c r="J62" i="7"/>
  <c r="K63" i="7" l="1"/>
  <c r="J61" i="7"/>
  <c r="K62" i="7" l="1"/>
  <c r="J60" i="7"/>
  <c r="K61" i="7" l="1"/>
  <c r="J59" i="7"/>
  <c r="K60" i="7" l="1"/>
  <c r="J58" i="7"/>
  <c r="K59" i="7" l="1"/>
  <c r="J57" i="7"/>
  <c r="K58" i="7" l="1"/>
  <c r="J56" i="7"/>
  <c r="K57" i="7" l="1"/>
  <c r="J55" i="7"/>
  <c r="K56" i="7" l="1"/>
  <c r="J54" i="7"/>
  <c r="K55" i="7" l="1"/>
  <c r="J53" i="7"/>
  <c r="K54" i="7" l="1"/>
  <c r="J52" i="7"/>
  <c r="J51" i="7" l="1"/>
  <c r="K53" i="7"/>
  <c r="J50" i="7" l="1"/>
  <c r="K52" i="7"/>
  <c r="J49" i="7" l="1"/>
  <c r="K51" i="7"/>
  <c r="J48" i="7" l="1"/>
  <c r="J47" i="7" s="1"/>
  <c r="J46" i="7" s="1"/>
  <c r="J45" i="7" s="1"/>
  <c r="J44" i="7" s="1"/>
  <c r="J43" i="7" s="1"/>
  <c r="J42" i="7" s="1"/>
  <c r="J41" i="7" s="1"/>
  <c r="J40" i="7" s="1"/>
  <c r="J39" i="7" s="1"/>
  <c r="J38" i="7" s="1"/>
  <c r="J37" i="7" s="1"/>
  <c r="J36" i="7" s="1"/>
  <c r="J35" i="7" s="1"/>
  <c r="J34" i="7" s="1"/>
  <c r="J33" i="7" s="1"/>
  <c r="J32" i="7" s="1"/>
  <c r="J31" i="7" s="1"/>
  <c r="J30" i="7" s="1"/>
  <c r="J29" i="7" s="1"/>
  <c r="J28" i="7" s="1"/>
  <c r="J27" i="7" s="1"/>
  <c r="J26" i="7" s="1"/>
  <c r="J25" i="7" s="1"/>
  <c r="J24" i="7" s="1"/>
  <c r="J23" i="7" s="1"/>
  <c r="J22" i="7" s="1"/>
  <c r="J21" i="7" s="1"/>
  <c r="J20" i="7" s="1"/>
  <c r="J19" i="7" s="1"/>
  <c r="J18" i="7" s="1"/>
  <c r="J17" i="7" s="1"/>
  <c r="J16" i="7" s="1"/>
  <c r="J15" i="7" s="1"/>
  <c r="J14" i="7" s="1"/>
  <c r="J13" i="7" s="1"/>
  <c r="J12" i="7" s="1"/>
  <c r="J11" i="7" s="1"/>
  <c r="J10" i="7" s="1"/>
  <c r="J9" i="7" s="1"/>
  <c r="J8" i="7" s="1"/>
  <c r="J7" i="7" s="1"/>
  <c r="J6" i="7" s="1"/>
  <c r="J5" i="7" s="1"/>
  <c r="J4" i="7" s="1"/>
  <c r="K50" i="7"/>
  <c r="K49" i="7" l="1"/>
  <c r="K48" i="7" s="1"/>
  <c r="K47" i="7" s="1"/>
  <c r="K46" i="7" s="1"/>
  <c r="K45" i="7" s="1"/>
  <c r="K44" i="7" s="1"/>
  <c r="K43" i="7" s="1"/>
  <c r="K42" i="7" s="1"/>
  <c r="K41" i="7" s="1"/>
  <c r="K40" i="7" s="1"/>
  <c r="K39" i="7" s="1"/>
  <c r="K38" i="7" s="1"/>
  <c r="K37" i="7" s="1"/>
  <c r="K36" i="7" s="1"/>
  <c r="K35" i="7" s="1"/>
  <c r="K34" i="7" s="1"/>
  <c r="K33" i="7" s="1"/>
  <c r="K32" i="7" s="1"/>
  <c r="K31" i="7" s="1"/>
  <c r="K30" i="7" s="1"/>
  <c r="K29" i="7" s="1"/>
  <c r="K28" i="7" s="1"/>
  <c r="K27" i="7" s="1"/>
  <c r="K26" i="7" s="1"/>
  <c r="K25" i="7" s="1"/>
  <c r="K24" i="7" s="1"/>
  <c r="K23" i="7" s="1"/>
  <c r="K22" i="7" s="1"/>
  <c r="K21" i="7" s="1"/>
  <c r="K20" i="7" s="1"/>
  <c r="K19" i="7" s="1"/>
  <c r="K18" i="7" s="1"/>
  <c r="K17" i="7" s="1"/>
  <c r="K16" i="7" s="1"/>
  <c r="K15" i="7" s="1"/>
  <c r="K14" i="7" s="1"/>
  <c r="K13" i="7" s="1"/>
  <c r="K12" i="7" s="1"/>
  <c r="K11" i="7" s="1"/>
  <c r="K10" i="7" s="1"/>
  <c r="K9" i="7" s="1"/>
  <c r="K8" i="7" s="1"/>
  <c r="K7" i="7" s="1"/>
  <c r="K6" i="7" s="1"/>
  <c r="K5" i="7" s="1"/>
  <c r="K4" i="7" s="1"/>
</calcChain>
</file>

<file path=xl/sharedStrings.xml><?xml version="1.0" encoding="utf-8"?>
<sst xmlns="http://schemas.openxmlformats.org/spreadsheetml/2006/main" count="70" uniqueCount="37">
  <si>
    <t>x</t>
  </si>
  <si>
    <r>
      <t>q</t>
    </r>
    <r>
      <rPr>
        <vertAlign val="subscript"/>
        <sz val="10"/>
        <rFont val="Arial"/>
        <family val="2"/>
      </rPr>
      <t>x</t>
    </r>
  </si>
  <si>
    <t>y</t>
  </si>
  <si>
    <r>
      <t>q</t>
    </r>
    <r>
      <rPr>
        <vertAlign val="subscript"/>
        <sz val="10"/>
        <rFont val="Arial"/>
        <family val="2"/>
      </rPr>
      <t>y</t>
    </r>
  </si>
  <si>
    <r>
      <t>l</t>
    </r>
    <r>
      <rPr>
        <vertAlign val="subscript"/>
        <sz val="10"/>
        <rFont val="Arial"/>
        <family val="2"/>
      </rPr>
      <t>y</t>
    </r>
  </si>
  <si>
    <r>
      <t>l</t>
    </r>
    <r>
      <rPr>
        <vertAlign val="subscript"/>
        <sz val="10"/>
        <rFont val="Arial"/>
        <family val="2"/>
      </rPr>
      <t>x</t>
    </r>
  </si>
  <si>
    <t>Zinssatz i:</t>
  </si>
  <si>
    <r>
      <t>v</t>
    </r>
    <r>
      <rPr>
        <vertAlign val="superscript"/>
        <sz val="10"/>
        <rFont val="Arial"/>
        <family val="2"/>
      </rPr>
      <t>x</t>
    </r>
  </si>
  <si>
    <r>
      <rPr>
        <sz val="10"/>
        <rFont val="Arial"/>
        <family val="2"/>
      </rPr>
      <t>d</t>
    </r>
    <r>
      <rPr>
        <vertAlign val="subscript"/>
        <sz val="10"/>
        <rFont val="Arial"/>
        <family val="2"/>
      </rPr>
      <t>x</t>
    </r>
  </si>
  <si>
    <r>
      <t>D</t>
    </r>
    <r>
      <rPr>
        <vertAlign val="subscript"/>
        <sz val="10"/>
        <rFont val="Arial"/>
        <family val="2"/>
      </rPr>
      <t>x</t>
    </r>
  </si>
  <si>
    <r>
      <t>N</t>
    </r>
    <r>
      <rPr>
        <vertAlign val="subscript"/>
        <sz val="10"/>
        <rFont val="Arial"/>
        <family val="2"/>
      </rPr>
      <t>x</t>
    </r>
  </si>
  <si>
    <r>
      <t>S</t>
    </r>
    <r>
      <rPr>
        <vertAlign val="subscript"/>
        <sz val="10"/>
        <rFont val="Arial"/>
        <family val="2"/>
      </rPr>
      <t>x</t>
    </r>
  </si>
  <si>
    <r>
      <t>C</t>
    </r>
    <r>
      <rPr>
        <vertAlign val="subscript"/>
        <sz val="10"/>
        <rFont val="Arial"/>
        <family val="2"/>
      </rPr>
      <t>x</t>
    </r>
  </si>
  <si>
    <r>
      <t>R</t>
    </r>
    <r>
      <rPr>
        <vertAlign val="subscript"/>
        <sz val="10"/>
        <rFont val="Arial"/>
        <family val="2"/>
      </rPr>
      <t>x</t>
    </r>
  </si>
  <si>
    <r>
      <t>M</t>
    </r>
    <r>
      <rPr>
        <vertAlign val="subscript"/>
        <sz val="10"/>
        <rFont val="Arial"/>
        <family val="2"/>
      </rPr>
      <t>x</t>
    </r>
  </si>
  <si>
    <r>
      <rPr>
        <sz val="10"/>
        <rFont val="Arial"/>
        <family val="2"/>
      </rPr>
      <t>d</t>
    </r>
    <r>
      <rPr>
        <vertAlign val="subscript"/>
        <sz val="10"/>
        <rFont val="Arial"/>
        <family val="2"/>
      </rPr>
      <t>y</t>
    </r>
  </si>
  <si>
    <r>
      <t>v</t>
    </r>
    <r>
      <rPr>
        <vertAlign val="superscript"/>
        <sz val="10"/>
        <rFont val="Arial"/>
        <family val="2"/>
      </rPr>
      <t>y</t>
    </r>
  </si>
  <si>
    <r>
      <t>D</t>
    </r>
    <r>
      <rPr>
        <vertAlign val="subscript"/>
        <sz val="10"/>
        <rFont val="Arial"/>
        <family val="2"/>
      </rPr>
      <t>y</t>
    </r>
  </si>
  <si>
    <r>
      <t>N</t>
    </r>
    <r>
      <rPr>
        <vertAlign val="subscript"/>
        <sz val="10"/>
        <rFont val="Arial"/>
        <family val="2"/>
      </rPr>
      <t>y</t>
    </r>
  </si>
  <si>
    <r>
      <t>S</t>
    </r>
    <r>
      <rPr>
        <vertAlign val="subscript"/>
        <sz val="10"/>
        <rFont val="Arial"/>
        <family val="2"/>
      </rPr>
      <t>y</t>
    </r>
  </si>
  <si>
    <r>
      <t>C</t>
    </r>
    <r>
      <rPr>
        <vertAlign val="subscript"/>
        <sz val="10"/>
        <rFont val="Arial"/>
        <family val="2"/>
      </rPr>
      <t>y</t>
    </r>
  </si>
  <si>
    <r>
      <t>M</t>
    </r>
    <r>
      <rPr>
        <vertAlign val="subscript"/>
        <sz val="10"/>
        <rFont val="Arial"/>
        <family val="2"/>
      </rPr>
      <t>y</t>
    </r>
  </si>
  <si>
    <r>
      <t>R</t>
    </r>
    <r>
      <rPr>
        <vertAlign val="subscript"/>
        <sz val="10"/>
        <rFont val="Arial"/>
        <family val="2"/>
      </rPr>
      <t>y</t>
    </r>
  </si>
  <si>
    <t>EKM 0105</t>
  </si>
  <si>
    <t>EKF 0105</t>
  </si>
  <si>
    <t>EKM 95</t>
  </si>
  <si>
    <t>EKF 95</t>
  </si>
  <si>
    <t>B</t>
  </si>
  <si>
    <t>Tafel</t>
  </si>
  <si>
    <t>Spalte</t>
  </si>
  <si>
    <t>x-Achse</t>
  </si>
  <si>
    <t>Grafiken</t>
  </si>
  <si>
    <t>Auswahl</t>
  </si>
  <si>
    <t>a)</t>
  </si>
  <si>
    <t>b)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</si>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</sst>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000_ ;[Red]\-#,##0.0000000\ "/>
    <numFmt numFmtId="165" formatCode="#,##0_ ;[Red]\-#,##0\ "/>
    <numFmt numFmtId="166" formatCode="#,##0.000_ ;[Red]\-#,##0.000\ "/>
    <numFmt numFmtId="167" formatCode="#,##0.00_ ;[Red]\-#,##0.00\ "/>
    <numFmt numFmtId="168" formatCode="#,##0.000000_ ;[Red]\-#,##0.000000\ "/>
  </numFmts>
  <fonts count="9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b/>
      <sz val="12"/>
      <name val="Arial"/>
      <family val="2"/>
    </font>
    <font>
      <sz val="10"/>
      <color rgb="FFFF0000"/>
      <name val="Arial"/>
      <family val="2"/>
    </font>
    <font>
      <sz val="8"/>
      <color rgb="FF0000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7">
    <xf numFmtId="0" fontId="0" fillId="0" borderId="0" xfId="0"/>
    <xf numFmtId="0" fontId="2" fillId="0" borderId="2" xfId="2" applyBorder="1" applyAlignment="1">
      <alignment horizontal="center"/>
    </xf>
    <xf numFmtId="0" fontId="2" fillId="0" borderId="3" xfId="2" applyBorder="1" applyAlignment="1">
      <alignment horizontal="center"/>
    </xf>
    <xf numFmtId="165" fontId="0" fillId="0" borderId="2" xfId="0" applyNumberFormat="1" applyBorder="1"/>
    <xf numFmtId="165" fontId="0" fillId="0" borderId="3" xfId="0" applyNumberFormat="1" applyBorder="1"/>
    <xf numFmtId="166" fontId="2" fillId="0" borderId="2" xfId="2" applyNumberFormat="1" applyBorder="1"/>
    <xf numFmtId="166" fontId="2" fillId="0" borderId="3" xfId="2" applyNumberFormat="1" applyBorder="1"/>
    <xf numFmtId="0" fontId="2" fillId="0" borderId="11" xfId="2" applyBorder="1" applyAlignment="1">
      <alignment horizontal="center"/>
    </xf>
    <xf numFmtId="166" fontId="2" fillId="0" borderId="11" xfId="2" applyNumberFormat="1" applyBorder="1"/>
    <xf numFmtId="0" fontId="0" fillId="0" borderId="16" xfId="0" applyBorder="1"/>
    <xf numFmtId="0" fontId="0" fillId="0" borderId="17" xfId="0" applyBorder="1"/>
    <xf numFmtId="0" fontId="7" fillId="0" borderId="0" xfId="0" applyFont="1"/>
    <xf numFmtId="164" fontId="0" fillId="0" borderId="19" xfId="0" applyNumberFormat="1" applyBorder="1"/>
    <xf numFmtId="164" fontId="0" fillId="0" borderId="1" xfId="0" applyNumberFormat="1" applyBorder="1"/>
    <xf numFmtId="164" fontId="0" fillId="0" borderId="8" xfId="0" applyNumberFormat="1" applyBorder="1"/>
    <xf numFmtId="164" fontId="0" fillId="0" borderId="20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5" fontId="0" fillId="0" borderId="21" xfId="0" applyNumberFormat="1" applyBorder="1"/>
    <xf numFmtId="165" fontId="0" fillId="0" borderId="22" xfId="0" applyNumberFormat="1" applyBorder="1"/>
    <xf numFmtId="164" fontId="2" fillId="3" borderId="6" xfId="2" applyNumberFormat="1" applyFill="1" applyBorder="1"/>
    <xf numFmtId="164" fontId="2" fillId="3" borderId="15" xfId="2" applyNumberFormat="1" applyFill="1" applyBorder="1"/>
    <xf numFmtId="164" fontId="2" fillId="3" borderId="10" xfId="2" applyNumberFormat="1" applyFill="1" applyBorder="1"/>
    <xf numFmtId="166" fontId="2" fillId="3" borderId="2" xfId="2" applyNumberFormat="1" applyFill="1" applyBorder="1"/>
    <xf numFmtId="0" fontId="2" fillId="0" borderId="0" xfId="0" applyFont="1"/>
    <xf numFmtId="0" fontId="4" fillId="4" borderId="23" xfId="0" applyFont="1" applyFill="1" applyBorder="1"/>
    <xf numFmtId="0" fontId="4" fillId="4" borderId="24" xfId="0" applyFont="1" applyFill="1" applyBorder="1"/>
    <xf numFmtId="0" fontId="4" fillId="4" borderId="25" xfId="0" applyFont="1" applyFill="1" applyBorder="1"/>
    <xf numFmtId="0" fontId="4" fillId="4" borderId="26" xfId="0" applyFont="1" applyFill="1" applyBorder="1" applyAlignment="1">
      <alignment horizontal="right"/>
    </xf>
    <xf numFmtId="0" fontId="2" fillId="4" borderId="27" xfId="2" applyFill="1" applyBorder="1" applyAlignment="1">
      <alignment horizontal="center"/>
    </xf>
    <xf numFmtId="0" fontId="2" fillId="4" borderId="28" xfId="2" applyFill="1" applyBorder="1" applyAlignment="1">
      <alignment horizontal="center"/>
    </xf>
    <xf numFmtId="0" fontId="3" fillId="4" borderId="29" xfId="2" applyFont="1" applyFill="1" applyBorder="1" applyAlignment="1">
      <alignment horizontal="center"/>
    </xf>
    <xf numFmtId="0" fontId="2" fillId="4" borderId="30" xfId="2" applyFill="1" applyBorder="1" applyAlignment="1">
      <alignment horizontal="center"/>
    </xf>
    <xf numFmtId="0" fontId="6" fillId="0" borderId="0" xfId="0" applyFont="1"/>
    <xf numFmtId="0" fontId="6" fillId="0" borderId="0" xfId="2" applyFont="1" applyAlignment="1">
      <alignment horizontal="left"/>
    </xf>
    <xf numFmtId="165" fontId="0" fillId="3" borderId="32" xfId="0" applyNumberFormat="1" applyFill="1" applyBorder="1" applyAlignment="1">
      <alignment horizontal="center"/>
    </xf>
    <xf numFmtId="165" fontId="0" fillId="2" borderId="34" xfId="0" applyNumberFormat="1" applyFill="1" applyBorder="1"/>
    <xf numFmtId="0" fontId="2" fillId="5" borderId="35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10" fontId="2" fillId="3" borderId="0" xfId="1" applyNumberFormat="1" applyFont="1" applyFill="1"/>
    <xf numFmtId="0" fontId="1" fillId="0" borderId="0" xfId="0" applyFont="1"/>
    <xf numFmtId="167" fontId="0" fillId="0" borderId="6" xfId="0" applyNumberFormat="1" applyBorder="1"/>
    <xf numFmtId="167" fontId="0" fillId="0" borderId="0" xfId="0" applyNumberFormat="1"/>
    <xf numFmtId="167" fontId="2" fillId="4" borderId="27" xfId="2" applyNumberFormat="1" applyFill="1" applyBorder="1" applyAlignment="1">
      <alignment horizontal="center"/>
    </xf>
    <xf numFmtId="167" fontId="2" fillId="4" borderId="31" xfId="2" applyNumberFormat="1" applyFill="1" applyBorder="1" applyAlignment="1">
      <alignment horizontal="center"/>
    </xf>
    <xf numFmtId="167" fontId="2" fillId="4" borderId="28" xfId="2" applyNumberFormat="1" applyFill="1" applyBorder="1" applyAlignment="1">
      <alignment horizontal="center"/>
    </xf>
    <xf numFmtId="167" fontId="0" fillId="0" borderId="17" xfId="0" applyNumberFormat="1" applyBorder="1"/>
    <xf numFmtId="167" fontId="7" fillId="0" borderId="18" xfId="0" applyNumberFormat="1" applyFont="1" applyBorder="1"/>
    <xf numFmtId="167" fontId="7" fillId="0" borderId="16" xfId="0" applyNumberFormat="1" applyFont="1" applyBorder="1"/>
    <xf numFmtId="167" fontId="7" fillId="0" borderId="0" xfId="0" applyNumberFormat="1" applyFont="1"/>
    <xf numFmtId="0" fontId="8" fillId="0" borderId="0" xfId="0" applyFont="1" applyAlignment="1">
      <alignment horizontal="center"/>
    </xf>
    <xf numFmtId="166" fontId="2" fillId="0" borderId="1" xfId="2" applyNumberFormat="1" applyBorder="1"/>
    <xf numFmtId="166" fontId="2" fillId="0" borderId="12" xfId="2" applyNumberFormat="1" applyBorder="1"/>
    <xf numFmtId="166" fontId="2" fillId="2" borderId="8" xfId="2" applyNumberFormat="1" applyFill="1" applyBorder="1"/>
    <xf numFmtId="166" fontId="0" fillId="0" borderId="4" xfId="0" applyNumberFormat="1" applyBorder="1"/>
    <xf numFmtId="166" fontId="0" fillId="0" borderId="2" xfId="0" applyNumberFormat="1" applyBorder="1"/>
    <xf numFmtId="166" fontId="0" fillId="0" borderId="7" xfId="0" applyNumberFormat="1" applyBorder="1"/>
    <xf numFmtId="166" fontId="0" fillId="0" borderId="6" xfId="0" applyNumberFormat="1" applyBorder="1"/>
    <xf numFmtId="166" fontId="0" fillId="0" borderId="13" xfId="0" applyNumberFormat="1" applyBorder="1"/>
    <xf numFmtId="166" fontId="0" fillId="0" borderId="11" xfId="0" applyNumberFormat="1" applyBorder="1"/>
    <xf numFmtId="166" fontId="0" fillId="0" borderId="14" xfId="0" applyNumberFormat="1" applyBorder="1"/>
    <xf numFmtId="166" fontId="0" fillId="0" borderId="15" xfId="0" applyNumberFormat="1" applyBorder="1"/>
    <xf numFmtId="166" fontId="0" fillId="0" borderId="5" xfId="0" applyNumberFormat="1" applyBorder="1"/>
    <xf numFmtId="166" fontId="0" fillId="0" borderId="3" xfId="0" applyNumberFormat="1" applyBorder="1"/>
    <xf numFmtId="166" fontId="0" fillId="2" borderId="9" xfId="0" applyNumberFormat="1" applyFill="1" applyBorder="1"/>
    <xf numFmtId="166" fontId="0" fillId="2" borderId="10" xfId="0" applyNumberFormat="1" applyFill="1" applyBorder="1"/>
    <xf numFmtId="166" fontId="0" fillId="2" borderId="3" xfId="0" applyNumberFormat="1" applyFill="1" applyBorder="1"/>
    <xf numFmtId="168" fontId="0" fillId="0" borderId="0" xfId="0" applyNumberFormat="1"/>
    <xf numFmtId="0" fontId="2" fillId="6" borderId="2" xfId="2" applyFill="1" applyBorder="1" applyAlignment="1">
      <alignment horizontal="center"/>
    </xf>
    <xf numFmtId="164" fontId="2" fillId="6" borderId="6" xfId="2" applyNumberFormat="1" applyFill="1" applyBorder="1"/>
    <xf numFmtId="166" fontId="2" fillId="6" borderId="2" xfId="2" applyNumberFormat="1" applyFill="1" applyBorder="1"/>
    <xf numFmtId="166" fontId="2" fillId="6" borderId="1" xfId="2" applyNumberFormat="1" applyFill="1" applyBorder="1"/>
    <xf numFmtId="166" fontId="0" fillId="6" borderId="4" xfId="0" applyNumberFormat="1" applyFill="1" applyBorder="1"/>
    <xf numFmtId="166" fontId="0" fillId="6" borderId="2" xfId="0" applyNumberFormat="1" applyFill="1" applyBorder="1"/>
    <xf numFmtId="166" fontId="0" fillId="6" borderId="7" xfId="0" applyNumberFormat="1" applyFill="1" applyBorder="1"/>
    <xf numFmtId="166" fontId="0" fillId="6" borderId="6" xfId="0" applyNumberFormat="1" applyFill="1" applyBorder="1"/>
    <xf numFmtId="0" fontId="0" fillId="6" borderId="0" xfId="0" applyFill="1"/>
  </cellXfs>
  <cellStyles count="3">
    <cellStyle name="Normal" xfId="0" builtinId="0"/>
    <cellStyle name="Per cent" xfId="1" builtinId="5"/>
    <cellStyle name="Standard 2" xfId="2" xr:uid="{00000000-0005-0000-0000-000002000000}"/>
  </cellStyles>
  <dxfs count="0"/>
  <tableStyles count="0" defaultTableStyle="TableStyleMedium9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192393736017899"/>
          <c:y val="3.4090909090909088E-2"/>
          <c:w val="0.86689038031319954"/>
          <c:h val="0.82305194805194781"/>
        </c:manualLayout>
      </c:layout>
      <c:lineChart>
        <c:grouping val="standard"/>
        <c:varyColors val="0"/>
        <c:ser>
          <c:idx val="1"/>
          <c:order val="0"/>
          <c:tx>
            <c:strRef>
              <c:f>'qx-Grafiken'!$B$3</c:f>
              <c:strCache>
                <c:ptCount val="1"/>
                <c:pt idx="0">
                  <c:v>EKM 95</c:v>
                </c:pt>
              </c:strCache>
            </c:strRef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'qx-Grafiken'!$F$6:$F$77</c:f>
              <c:numCache>
                <c:formatCode>#,##0_ ;[Red]\-#,##0\ </c:formatCode>
                <c:ptCount val="7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</c:numCache>
            </c:numRef>
          </c:cat>
          <c:val>
            <c:numRef>
              <c:f>'qx-Grafiken'!$B$6:$B$77</c:f>
              <c:numCache>
                <c:formatCode>#,##0.0000000_ ;[Red]\-#,##0.0000000\ </c:formatCode>
                <c:ptCount val="72"/>
                <c:pt idx="0">
                  <c:v>3.0963000000000002E-3</c:v>
                </c:pt>
                <c:pt idx="1">
                  <c:v>1.1770000000000001E-3</c:v>
                </c:pt>
                <c:pt idx="2">
                  <c:v>8.051E-4</c:v>
                </c:pt>
                <c:pt idx="3">
                  <c:v>7.1929999999999997E-4</c:v>
                </c:pt>
                <c:pt idx="4">
                  <c:v>6.4309999999999997E-4</c:v>
                </c:pt>
                <c:pt idx="5">
                  <c:v>5.7700000000000004E-4</c:v>
                </c:pt>
                <c:pt idx="6">
                  <c:v>5.2170000000000005E-4</c:v>
                </c:pt>
                <c:pt idx="7">
                  <c:v>4.7790000000000002E-4</c:v>
                </c:pt>
                <c:pt idx="8">
                  <c:v>4.462E-4</c:v>
                </c:pt>
                <c:pt idx="9">
                  <c:v>4.2739999999999998E-4</c:v>
                </c:pt>
                <c:pt idx="10">
                  <c:v>4.2210000000000001E-4</c:v>
                </c:pt>
                <c:pt idx="11">
                  <c:v>4.3080000000000001E-4</c:v>
                </c:pt>
                <c:pt idx="12">
                  <c:v>4.5320000000000001E-4</c:v>
                </c:pt>
                <c:pt idx="13">
                  <c:v>4.9620000000000003E-4</c:v>
                </c:pt>
                <c:pt idx="14">
                  <c:v>5.911E-4</c:v>
                </c:pt>
                <c:pt idx="15">
                  <c:v>7.7150000000000005E-4</c:v>
                </c:pt>
                <c:pt idx="16">
                  <c:v>1.0666E-3</c:v>
                </c:pt>
                <c:pt idx="17">
                  <c:v>1.4748999999999999E-3</c:v>
                </c:pt>
                <c:pt idx="18">
                  <c:v>1.8875999999999999E-3</c:v>
                </c:pt>
                <c:pt idx="19">
                  <c:v>2.1770000000000001E-3</c:v>
                </c:pt>
                <c:pt idx="20">
                  <c:v>2.2539000000000001E-3</c:v>
                </c:pt>
                <c:pt idx="21">
                  <c:v>2.1743999999999999E-3</c:v>
                </c:pt>
                <c:pt idx="22">
                  <c:v>2.0281000000000001E-3</c:v>
                </c:pt>
                <c:pt idx="23">
                  <c:v>1.8632E-3</c:v>
                </c:pt>
                <c:pt idx="24">
                  <c:v>1.7139E-3</c:v>
                </c:pt>
                <c:pt idx="25">
                  <c:v>1.5934E-3</c:v>
                </c:pt>
                <c:pt idx="26">
                  <c:v>1.4966000000000001E-3</c:v>
                </c:pt>
                <c:pt idx="27">
                  <c:v>1.421E-3</c:v>
                </c:pt>
                <c:pt idx="28">
                  <c:v>1.3651E-3</c:v>
                </c:pt>
                <c:pt idx="29">
                  <c:v>1.3270000000000001E-3</c:v>
                </c:pt>
                <c:pt idx="30">
                  <c:v>1.305E-3</c:v>
                </c:pt>
                <c:pt idx="31">
                  <c:v>1.2974E-3</c:v>
                </c:pt>
                <c:pt idx="32">
                  <c:v>1.3024E-3</c:v>
                </c:pt>
                <c:pt idx="33">
                  <c:v>1.3178E-3</c:v>
                </c:pt>
                <c:pt idx="34">
                  <c:v>1.3420999999999999E-3</c:v>
                </c:pt>
                <c:pt idx="35">
                  <c:v>1.3734999999999999E-3</c:v>
                </c:pt>
                <c:pt idx="36">
                  <c:v>1.4105999999999999E-3</c:v>
                </c:pt>
                <c:pt idx="37">
                  <c:v>1.4694E-3</c:v>
                </c:pt>
                <c:pt idx="38">
                  <c:v>1.5394E-3</c:v>
                </c:pt>
                <c:pt idx="39">
                  <c:v>1.6230000000000001E-3</c:v>
                </c:pt>
                <c:pt idx="40">
                  <c:v>1.7236E-3</c:v>
                </c:pt>
                <c:pt idx="41">
                  <c:v>1.843E-3</c:v>
                </c:pt>
                <c:pt idx="42">
                  <c:v>1.9837000000000001E-3</c:v>
                </c:pt>
                <c:pt idx="43">
                  <c:v>2.1484E-3</c:v>
                </c:pt>
                <c:pt idx="44">
                  <c:v>2.3400000000000001E-3</c:v>
                </c:pt>
                <c:pt idx="45">
                  <c:v>2.5612999999999999E-3</c:v>
                </c:pt>
                <c:pt idx="46">
                  <c:v>2.8134000000000002E-3</c:v>
                </c:pt>
                <c:pt idx="47">
                  <c:v>3.0975E-3</c:v>
                </c:pt>
                <c:pt idx="48">
                  <c:v>3.4166000000000001E-3</c:v>
                </c:pt>
                <c:pt idx="49">
                  <c:v>3.7728000000000002E-3</c:v>
                </c:pt>
                <c:pt idx="50">
                  <c:v>4.1663000000000004E-3</c:v>
                </c:pt>
                <c:pt idx="51">
                  <c:v>4.5976000000000003E-3</c:v>
                </c:pt>
                <c:pt idx="52">
                  <c:v>5.0701000000000001E-3</c:v>
                </c:pt>
                <c:pt idx="53">
                  <c:v>5.5865999999999997E-3</c:v>
                </c:pt>
                <c:pt idx="54">
                  <c:v>6.1539000000000003E-3</c:v>
                </c:pt>
                <c:pt idx="55">
                  <c:v>6.7768999999999998E-3</c:v>
                </c:pt>
                <c:pt idx="56">
                  <c:v>7.4513000000000001E-3</c:v>
                </c:pt>
                <c:pt idx="57">
                  <c:v>8.1764999999999997E-3</c:v>
                </c:pt>
                <c:pt idx="58">
                  <c:v>8.9587E-3</c:v>
                </c:pt>
                <c:pt idx="59">
                  <c:v>9.8148000000000003E-3</c:v>
                </c:pt>
                <c:pt idx="60">
                  <c:v>1.07519E-2</c:v>
                </c:pt>
                <c:pt idx="61">
                  <c:v>1.17456E-2</c:v>
                </c:pt>
                <c:pt idx="62">
                  <c:v>1.27881E-2</c:v>
                </c:pt>
                <c:pt idx="63">
                  <c:v>1.39084E-2</c:v>
                </c:pt>
                <c:pt idx="64">
                  <c:v>1.5062000000000001E-2</c:v>
                </c:pt>
                <c:pt idx="65">
                  <c:v>1.62711E-2</c:v>
                </c:pt>
                <c:pt idx="66">
                  <c:v>1.7551299999999999E-2</c:v>
                </c:pt>
                <c:pt idx="67">
                  <c:v>1.8904500000000001E-2</c:v>
                </c:pt>
                <c:pt idx="68">
                  <c:v>2.0332800000000002E-2</c:v>
                </c:pt>
                <c:pt idx="69">
                  <c:v>2.1838400000000001E-2</c:v>
                </c:pt>
                <c:pt idx="70">
                  <c:v>2.3423300000000001E-2</c:v>
                </c:pt>
                <c:pt idx="71">
                  <c:v>2.5106E-2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6B-42FA-9B73-F6D38B393D94}"/>
            </c:ext>
          </c:extLst>
        </c:ser>
        <c:ser>
          <c:idx val="0"/>
          <c:order val="1"/>
          <c:tx>
            <c:strRef>
              <c:f>'qx-Grafiken'!$C$3</c:f>
              <c:strCache>
                <c:ptCount val="1"/>
                <c:pt idx="0">
                  <c:v>EKF 95</c:v>
                </c:pt>
              </c:strCache>
            </c:strRef>
          </c:tx>
          <c:spPr>
            <a:ln w="25400">
              <a:solidFill>
                <a:srgbClr val="00FF00"/>
              </a:solidFill>
              <a:prstDash val="solid"/>
            </a:ln>
          </c:spPr>
          <c:marker>
            <c:symbol val="none"/>
          </c:marker>
          <c:cat>
            <c:numRef>
              <c:f>'qx-Grafiken'!$F$6:$F$77</c:f>
              <c:numCache>
                <c:formatCode>#,##0_ ;[Red]\-#,##0\ </c:formatCode>
                <c:ptCount val="7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</c:numCache>
            </c:numRef>
          </c:cat>
          <c:val>
            <c:numRef>
              <c:f>'qx-Grafiken'!$C$6:$C$77</c:f>
              <c:numCache>
                <c:formatCode>#,##0.0000000_ ;[Red]\-#,##0.0000000\ </c:formatCode>
                <c:ptCount val="72"/>
                <c:pt idx="0">
                  <c:v>1.5621000000000001E-3</c:v>
                </c:pt>
                <c:pt idx="1">
                  <c:v>1.2181E-3</c:v>
                </c:pt>
                <c:pt idx="2">
                  <c:v>9.3260000000000001E-4</c:v>
                </c:pt>
                <c:pt idx="3">
                  <c:v>7.0089999999999996E-4</c:v>
                </c:pt>
                <c:pt idx="4">
                  <c:v>5.1920000000000004E-4</c:v>
                </c:pt>
                <c:pt idx="5">
                  <c:v>3.8470000000000003E-4</c:v>
                </c:pt>
                <c:pt idx="6">
                  <c:v>2.9530000000000002E-4</c:v>
                </c:pt>
                <c:pt idx="7">
                  <c:v>2.5030000000000001E-4</c:v>
                </c:pt>
                <c:pt idx="8">
                  <c:v>2.4570000000000001E-4</c:v>
                </c:pt>
                <c:pt idx="9">
                  <c:v>2.721E-4</c:v>
                </c:pt>
                <c:pt idx="10">
                  <c:v>3.165E-4</c:v>
                </c:pt>
                <c:pt idx="11">
                  <c:v>3.6699999999999998E-4</c:v>
                </c:pt>
                <c:pt idx="12">
                  <c:v>4.1389999999999998E-4</c:v>
                </c:pt>
                <c:pt idx="13">
                  <c:v>4.5160000000000003E-4</c:v>
                </c:pt>
                <c:pt idx="14">
                  <c:v>5.2999999999999998E-4</c:v>
                </c:pt>
                <c:pt idx="15">
                  <c:v>7.3479999999999997E-4</c:v>
                </c:pt>
                <c:pt idx="16">
                  <c:v>9.9149999999999998E-4</c:v>
                </c:pt>
                <c:pt idx="17">
                  <c:v>1.1118E-3</c:v>
                </c:pt>
                <c:pt idx="18">
                  <c:v>1.0447E-3</c:v>
                </c:pt>
                <c:pt idx="19">
                  <c:v>9.3899999999999995E-4</c:v>
                </c:pt>
                <c:pt idx="20">
                  <c:v>8.5329999999999998E-4</c:v>
                </c:pt>
                <c:pt idx="21">
                  <c:v>7.7749999999999998E-4</c:v>
                </c:pt>
                <c:pt idx="22">
                  <c:v>7.1400000000000001E-4</c:v>
                </c:pt>
                <c:pt idx="23">
                  <c:v>6.6799999999999997E-4</c:v>
                </c:pt>
                <c:pt idx="24">
                  <c:v>6.3330000000000005E-4</c:v>
                </c:pt>
                <c:pt idx="25">
                  <c:v>6.1320000000000005E-4</c:v>
                </c:pt>
                <c:pt idx="26">
                  <c:v>6.0470000000000001E-4</c:v>
                </c:pt>
                <c:pt idx="27">
                  <c:v>6.0559999999999998E-4</c:v>
                </c:pt>
                <c:pt idx="28">
                  <c:v>6.1479999999999998E-4</c:v>
                </c:pt>
                <c:pt idx="29">
                  <c:v>6.311E-4</c:v>
                </c:pt>
                <c:pt idx="30">
                  <c:v>6.5300000000000004E-4</c:v>
                </c:pt>
                <c:pt idx="31">
                  <c:v>6.7920000000000003E-4</c:v>
                </c:pt>
                <c:pt idx="32">
                  <c:v>7.0870000000000004E-4</c:v>
                </c:pt>
                <c:pt idx="33">
                  <c:v>7.4129999999999997E-4</c:v>
                </c:pt>
                <c:pt idx="34">
                  <c:v>7.7800000000000005E-4</c:v>
                </c:pt>
                <c:pt idx="35">
                  <c:v>8.183E-4</c:v>
                </c:pt>
                <c:pt idx="36">
                  <c:v>8.6260000000000004E-4</c:v>
                </c:pt>
                <c:pt idx="37">
                  <c:v>9.1989999999999997E-4</c:v>
                </c:pt>
                <c:pt idx="38">
                  <c:v>9.8409999999999991E-4</c:v>
                </c:pt>
                <c:pt idx="39">
                  <c:v>1.0554E-3</c:v>
                </c:pt>
                <c:pt idx="40">
                  <c:v>1.1356999999999999E-3</c:v>
                </c:pt>
                <c:pt idx="41">
                  <c:v>1.225E-3</c:v>
                </c:pt>
                <c:pt idx="42">
                  <c:v>1.3235E-3</c:v>
                </c:pt>
                <c:pt idx="43">
                  <c:v>1.4321E-3</c:v>
                </c:pt>
                <c:pt idx="44">
                  <c:v>1.5532E-3</c:v>
                </c:pt>
                <c:pt idx="45">
                  <c:v>1.6872E-3</c:v>
                </c:pt>
                <c:pt idx="46">
                  <c:v>1.8320999999999999E-3</c:v>
                </c:pt>
                <c:pt idx="47">
                  <c:v>1.9884E-3</c:v>
                </c:pt>
                <c:pt idx="48">
                  <c:v>2.1576E-3</c:v>
                </c:pt>
                <c:pt idx="49">
                  <c:v>2.3406999999999998E-3</c:v>
                </c:pt>
                <c:pt idx="50">
                  <c:v>2.5366E-3</c:v>
                </c:pt>
                <c:pt idx="51">
                  <c:v>2.7428999999999999E-3</c:v>
                </c:pt>
                <c:pt idx="52">
                  <c:v>2.9613999999999999E-3</c:v>
                </c:pt>
                <c:pt idx="53">
                  <c:v>3.1957999999999999E-3</c:v>
                </c:pt>
                <c:pt idx="54">
                  <c:v>3.4478999999999998E-3</c:v>
                </c:pt>
                <c:pt idx="55">
                  <c:v>3.7190000000000001E-3</c:v>
                </c:pt>
                <c:pt idx="56">
                  <c:v>4.0074999999999998E-3</c:v>
                </c:pt>
                <c:pt idx="57">
                  <c:v>4.3134000000000002E-3</c:v>
                </c:pt>
                <c:pt idx="58">
                  <c:v>4.6427999999999999E-3</c:v>
                </c:pt>
                <c:pt idx="59">
                  <c:v>5.0068999999999999E-3</c:v>
                </c:pt>
                <c:pt idx="60">
                  <c:v>5.4153999999999999E-3</c:v>
                </c:pt>
                <c:pt idx="61">
                  <c:v>5.8240999999999996E-3</c:v>
                </c:pt>
                <c:pt idx="62">
                  <c:v>6.1992000000000002E-3</c:v>
                </c:pt>
                <c:pt idx="63">
                  <c:v>6.5926999999999999E-3</c:v>
                </c:pt>
                <c:pt idx="64">
                  <c:v>7.0049999999999999E-3</c:v>
                </c:pt>
                <c:pt idx="65">
                  <c:v>7.4467999999999999E-3</c:v>
                </c:pt>
                <c:pt idx="66">
                  <c:v>7.9698000000000008E-3</c:v>
                </c:pt>
                <c:pt idx="67">
                  <c:v>8.6350000000000003E-3</c:v>
                </c:pt>
                <c:pt idx="68">
                  <c:v>9.5023E-3</c:v>
                </c:pt>
                <c:pt idx="69">
                  <c:v>1.06307E-2</c:v>
                </c:pt>
                <c:pt idx="70">
                  <c:v>1.20778E-2</c:v>
                </c:pt>
                <c:pt idx="71">
                  <c:v>1.39133E-2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B-42FA-9B73-F6D38B393D94}"/>
            </c:ext>
          </c:extLst>
        </c:ser>
        <c:ser>
          <c:idx val="2"/>
          <c:order val="2"/>
          <c:tx>
            <c:strRef>
              <c:f>'qx-Grafiken'!$D$3</c:f>
              <c:strCache>
                <c:ptCount val="1"/>
                <c:pt idx="0">
                  <c:v>EKM 0105</c:v>
                </c:pt>
              </c:strCache>
            </c:strRef>
          </c:tx>
          <c:spPr>
            <a:ln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'qx-Grafiken'!$F$6:$F$77</c:f>
              <c:numCache>
                <c:formatCode>#,##0_ ;[Red]\-#,##0\ </c:formatCode>
                <c:ptCount val="7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</c:numCache>
            </c:numRef>
          </c:cat>
          <c:val>
            <c:numRef>
              <c:f>'qx-Grafiken'!$D$6:$D$77</c:f>
              <c:numCache>
                <c:formatCode>#,##0.0000000_ ;[Red]\-#,##0.0000000\ </c:formatCode>
                <c:ptCount val="72"/>
                <c:pt idx="0">
                  <c:v>5.3379999999998836E-3</c:v>
                </c:pt>
                <c:pt idx="1">
                  <c:v>4.0310000000003273E-4</c:v>
                </c:pt>
                <c:pt idx="2">
                  <c:v>3.7030000000001101E-4</c:v>
                </c:pt>
                <c:pt idx="3">
                  <c:v>3.4359999999997653E-4</c:v>
                </c:pt>
                <c:pt idx="4">
                  <c:v>3.2339999999993034E-4</c:v>
                </c:pt>
                <c:pt idx="5">
                  <c:v>3.1069999999994727E-4</c:v>
                </c:pt>
                <c:pt idx="6">
                  <c:v>3.0680000000010314E-4</c:v>
                </c:pt>
                <c:pt idx="7">
                  <c:v>3.1319999999996484E-4</c:v>
                </c:pt>
                <c:pt idx="8">
                  <c:v>3.3150000000008601E-4</c:v>
                </c:pt>
                <c:pt idx="9">
                  <c:v>3.6290000000006704E-4</c:v>
                </c:pt>
                <c:pt idx="10">
                  <c:v>4.0790000000001859E-4</c:v>
                </c:pt>
                <c:pt idx="11">
                  <c:v>4.6550000000007675E-4</c:v>
                </c:pt>
                <c:pt idx="12">
                  <c:v>5.3349999999991013E-4</c:v>
                </c:pt>
                <c:pt idx="13">
                  <c:v>6.0859999999993532E-4</c:v>
                </c:pt>
                <c:pt idx="14">
                  <c:v>6.85900000000019E-4</c:v>
                </c:pt>
                <c:pt idx="15">
                  <c:v>7.5970000000002676E-4</c:v>
                </c:pt>
                <c:pt idx="16">
                  <c:v>8.2400000000008985E-4</c:v>
                </c:pt>
                <c:pt idx="17">
                  <c:v>8.7279999999997156E-4</c:v>
                </c:pt>
                <c:pt idx="18">
                  <c:v>9.0119999999997377E-4</c:v>
                </c:pt>
                <c:pt idx="19">
                  <c:v>9.05900000000043E-4</c:v>
                </c:pt>
                <c:pt idx="20">
                  <c:v>8.8639999999995931E-4</c:v>
                </c:pt>
                <c:pt idx="21">
                  <c:v>8.4550000000011667E-4</c:v>
                </c:pt>
                <c:pt idx="22">
                  <c:v>7.8890000000002096E-4</c:v>
                </c:pt>
                <c:pt idx="23">
                  <c:v>7.2409999999995282E-4</c:v>
                </c:pt>
                <c:pt idx="24">
                  <c:v>6.5859999999999953E-4</c:v>
                </c:pt>
                <c:pt idx="25">
                  <c:v>5.9849999999996169E-4</c:v>
                </c:pt>
                <c:pt idx="26">
                  <c:v>5.4779999999992864E-4</c:v>
                </c:pt>
                <c:pt idx="27">
                  <c:v>5.0839999999995446E-4</c:v>
                </c:pt>
                <c:pt idx="28">
                  <c:v>4.8090000000005874E-4</c:v>
                </c:pt>
                <c:pt idx="29">
                  <c:v>4.6460000000007841E-4</c:v>
                </c:pt>
                <c:pt idx="30">
                  <c:v>4.582999999999507E-4</c:v>
                </c:pt>
                <c:pt idx="31">
                  <c:v>4.6139999999988214E-4</c:v>
                </c:pt>
                <c:pt idx="32">
                  <c:v>4.7409999999998279E-4</c:v>
                </c:pt>
                <c:pt idx="33">
                  <c:v>4.9730000000007166E-4</c:v>
                </c:pt>
                <c:pt idx="34">
                  <c:v>5.3139999999999579E-4</c:v>
                </c:pt>
                <c:pt idx="35">
                  <c:v>5.7510000000000135E-4</c:v>
                </c:pt>
                <c:pt idx="36">
                  <c:v>6.2549999999993589E-4</c:v>
                </c:pt>
                <c:pt idx="37">
                  <c:v>6.796999999999551E-4</c:v>
                </c:pt>
                <c:pt idx="38">
                  <c:v>7.3610000000002716E-4</c:v>
                </c:pt>
                <c:pt idx="39">
                  <c:v>7.9579999999999452E-4</c:v>
                </c:pt>
                <c:pt idx="40">
                  <c:v>8.6180000000004827E-4</c:v>
                </c:pt>
                <c:pt idx="41">
                  <c:v>9.3829999999992713E-4</c:v>
                </c:pt>
                <c:pt idx="42">
                  <c:v>1.0290999999999432E-3</c:v>
                </c:pt>
                <c:pt idx="43">
                  <c:v>1.1360000000000476E-3</c:v>
                </c:pt>
                <c:pt idx="44">
                  <c:v>1.2585000000000929E-3</c:v>
                </c:pt>
                <c:pt idx="45">
                  <c:v>1.3949000000000151E-3</c:v>
                </c:pt>
                <c:pt idx="46">
                  <c:v>1.5443999999999491E-3</c:v>
                </c:pt>
                <c:pt idx="47">
                  <c:v>1.709900000000007E-3</c:v>
                </c:pt>
                <c:pt idx="48">
                  <c:v>1.89609999999989E-3</c:v>
                </c:pt>
                <c:pt idx="49">
                  <c:v>2.1078999999999916E-3</c:v>
                </c:pt>
                <c:pt idx="50">
                  <c:v>2.3467000000000826E-3</c:v>
                </c:pt>
                <c:pt idx="51">
                  <c:v>2.6093999999999527E-3</c:v>
                </c:pt>
                <c:pt idx="52">
                  <c:v>2.8907000000000941E-3</c:v>
                </c:pt>
                <c:pt idx="53">
                  <c:v>3.1871999999998984E-3</c:v>
                </c:pt>
                <c:pt idx="54">
                  <c:v>3.5024000000000613E-3</c:v>
                </c:pt>
                <c:pt idx="55">
                  <c:v>3.8454999999999687E-3</c:v>
                </c:pt>
                <c:pt idx="56">
                  <c:v>4.2255000000000105E-3</c:v>
                </c:pt>
                <c:pt idx="57">
                  <c:v>4.6439000000000055E-3</c:v>
                </c:pt>
                <c:pt idx="58">
                  <c:v>5.0922000000000025E-3</c:v>
                </c:pt>
                <c:pt idx="59">
                  <c:v>5.5557999999999701E-3</c:v>
                </c:pt>
                <c:pt idx="60">
                  <c:v>6.0186000000000449E-3</c:v>
                </c:pt>
                <c:pt idx="61">
                  <c:v>6.4712999999999611E-3</c:v>
                </c:pt>
                <c:pt idx="62">
                  <c:v>6.9176000000000445E-3</c:v>
                </c:pt>
                <c:pt idx="63">
                  <c:v>7.3750999999999687E-3</c:v>
                </c:pt>
                <c:pt idx="64">
                  <c:v>7.8718999999999942E-3</c:v>
                </c:pt>
                <c:pt idx="65">
                  <c:v>8.4460000000000143E-3</c:v>
                </c:pt>
                <c:pt idx="66">
                  <c:v>9.142000000000039E-3</c:v>
                </c:pt>
                <c:pt idx="67">
                  <c:v>1.0004700000000049E-2</c:v>
                </c:pt>
                <c:pt idx="68">
                  <c:v>1.1073500000000021E-2</c:v>
                </c:pt>
                <c:pt idx="69">
                  <c:v>1.2380199999999925E-2</c:v>
                </c:pt>
                <c:pt idx="70">
                  <c:v>1.3948299999999997E-2</c:v>
                </c:pt>
                <c:pt idx="71">
                  <c:v>1.579439999999999E-2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6B-42FA-9B73-F6D38B393D94}"/>
            </c:ext>
          </c:extLst>
        </c:ser>
        <c:ser>
          <c:idx val="3"/>
          <c:order val="3"/>
          <c:tx>
            <c:strRef>
              <c:f>'qx-Grafiken'!$E$3</c:f>
              <c:strCache>
                <c:ptCount val="1"/>
                <c:pt idx="0">
                  <c:v>EKF 0105</c:v>
                </c:pt>
              </c:strCache>
            </c:strRef>
          </c:tx>
          <c:spPr>
            <a:ln>
              <a:solidFill>
                <a:srgbClr val="92D050"/>
              </a:solidFill>
            </a:ln>
          </c:spPr>
          <c:marker>
            <c:symbol val="none"/>
          </c:marker>
          <c:cat>
            <c:numRef>
              <c:f>'qx-Grafiken'!$F$6:$F$77</c:f>
              <c:numCache>
                <c:formatCode>#,##0_ ;[Red]\-#,##0\ </c:formatCode>
                <c:ptCount val="7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</c:numCache>
            </c:numRef>
          </c:cat>
          <c:val>
            <c:numRef>
              <c:f>'qx-Grafiken'!$E$6:$E$77</c:f>
              <c:numCache>
                <c:formatCode>#,##0.0000000_ ;[Red]\-#,##0.0000000\ </c:formatCode>
                <c:ptCount val="72"/>
                <c:pt idx="0">
                  <c:v>4.1719999999999709E-3</c:v>
                </c:pt>
                <c:pt idx="1">
                  <c:v>3.5010000000002922E-4</c:v>
                </c:pt>
                <c:pt idx="2">
                  <c:v>3.1360000000001852E-4</c:v>
                </c:pt>
                <c:pt idx="3">
                  <c:v>2.8600000000005249E-4</c:v>
                </c:pt>
                <c:pt idx="4">
                  <c:v>2.6680000000008032E-4</c:v>
                </c:pt>
                <c:pt idx="5">
                  <c:v>2.5519999999994321E-4</c:v>
                </c:pt>
                <c:pt idx="6">
                  <c:v>2.501999999999407E-4</c:v>
                </c:pt>
                <c:pt idx="7">
                  <c:v>2.5129999999999868E-4</c:v>
                </c:pt>
                <c:pt idx="8">
                  <c:v>2.5770000000001109E-4</c:v>
                </c:pt>
                <c:pt idx="9">
                  <c:v>2.6899999999994772E-4</c:v>
                </c:pt>
                <c:pt idx="10">
                  <c:v>2.8439999999993996E-4</c:v>
                </c:pt>
                <c:pt idx="11">
                  <c:v>3.0349999999994644E-4</c:v>
                </c:pt>
                <c:pt idx="12">
                  <c:v>3.2580000000009753E-4</c:v>
                </c:pt>
                <c:pt idx="13">
                  <c:v>3.502999999999594E-4</c:v>
                </c:pt>
                <c:pt idx="14">
                  <c:v>3.7490000000002489E-4</c:v>
                </c:pt>
                <c:pt idx="15">
                  <c:v>3.9730000000005579E-4</c:v>
                </c:pt>
                <c:pt idx="16">
                  <c:v>4.1520000000000646E-4</c:v>
                </c:pt>
                <c:pt idx="17">
                  <c:v>4.2660000000011131E-4</c:v>
                </c:pt>
                <c:pt idx="18">
                  <c:v>4.2959999999997618E-4</c:v>
                </c:pt>
                <c:pt idx="19">
                  <c:v>4.2330000000005171E-4</c:v>
                </c:pt>
                <c:pt idx="20">
                  <c:v>4.0750000000000253E-4</c:v>
                </c:pt>
                <c:pt idx="21">
                  <c:v>3.8309999999998963E-4</c:v>
                </c:pt>
                <c:pt idx="22">
                  <c:v>3.5200000000001468E-4</c:v>
                </c:pt>
                <c:pt idx="23">
                  <c:v>3.1699999999994021E-4</c:v>
                </c:pt>
                <c:pt idx="24">
                  <c:v>2.8140000000004078E-4</c:v>
                </c:pt>
                <c:pt idx="25">
                  <c:v>2.4869999999992625E-4</c:v>
                </c:pt>
                <c:pt idx="26">
                  <c:v>2.2120000000003676E-4</c:v>
                </c:pt>
                <c:pt idx="27">
                  <c:v>2.0040000000005274E-4</c:v>
                </c:pt>
                <c:pt idx="28">
                  <c:v>1.8759999999989291E-4</c:v>
                </c:pt>
                <c:pt idx="29">
                  <c:v>1.8339999999999069E-4</c:v>
                </c:pt>
                <c:pt idx="30">
                  <c:v>1.8759999999989278E-4</c:v>
                </c:pt>
                <c:pt idx="31">
                  <c:v>1.9910000000005444E-4</c:v>
                </c:pt>
                <c:pt idx="32">
                  <c:v>2.1620000000005581E-4</c:v>
                </c:pt>
                <c:pt idx="33">
                  <c:v>2.3669999999999133E-4</c:v>
                </c:pt>
                <c:pt idx="34">
                  <c:v>2.5949999999993171E-4</c:v>
                </c:pt>
                <c:pt idx="35">
                  <c:v>2.8559999999998856E-4</c:v>
                </c:pt>
                <c:pt idx="36">
                  <c:v>3.1780000000005229E-4</c:v>
                </c:pt>
                <c:pt idx="37">
                  <c:v>3.6019999999998046E-4</c:v>
                </c:pt>
                <c:pt idx="38">
                  <c:v>4.1550000000001899E-4</c:v>
                </c:pt>
                <c:pt idx="39">
                  <c:v>4.8289999999988115E-4</c:v>
                </c:pt>
                <c:pt idx="40">
                  <c:v>5.590000000000434E-4</c:v>
                </c:pt>
                <c:pt idx="41">
                  <c:v>6.3929999999999109E-4</c:v>
                </c:pt>
                <c:pt idx="42">
                  <c:v>7.2029999999996899E-4</c:v>
                </c:pt>
                <c:pt idx="43">
                  <c:v>8.0060000000008484E-4</c:v>
                </c:pt>
                <c:pt idx="44">
                  <c:v>8.804999999999512E-4</c:v>
                </c:pt>
                <c:pt idx="45">
                  <c:v>9.6169999999988411E-4</c:v>
                </c:pt>
                <c:pt idx="46">
                  <c:v>1.0457000000000424E-3</c:v>
                </c:pt>
                <c:pt idx="47">
                  <c:v>1.1356000000000476E-3</c:v>
                </c:pt>
                <c:pt idx="48">
                  <c:v>1.2355999999999979E-3</c:v>
                </c:pt>
                <c:pt idx="49">
                  <c:v>1.350500000000058E-3</c:v>
                </c:pt>
                <c:pt idx="50">
                  <c:v>1.4852000000000214E-3</c:v>
                </c:pt>
                <c:pt idx="51">
                  <c:v>1.6441000000000105E-3</c:v>
                </c:pt>
                <c:pt idx="52">
                  <c:v>1.8297999999999826E-3</c:v>
                </c:pt>
                <c:pt idx="53">
                  <c:v>2.0412999999999933E-3</c:v>
                </c:pt>
                <c:pt idx="54">
                  <c:v>2.2740999999998944E-3</c:v>
                </c:pt>
                <c:pt idx="55">
                  <c:v>2.5233000000000321E-3</c:v>
                </c:pt>
                <c:pt idx="56">
                  <c:v>2.783399999999929E-3</c:v>
                </c:pt>
                <c:pt idx="57">
                  <c:v>3.0476999999999358E-3</c:v>
                </c:pt>
                <c:pt idx="58">
                  <c:v>3.3077999999999021E-3</c:v>
                </c:pt>
                <c:pt idx="59">
                  <c:v>3.5560999999998764E-3</c:v>
                </c:pt>
                <c:pt idx="60">
                  <c:v>3.7887000000000051E-3</c:v>
                </c:pt>
                <c:pt idx="61">
                  <c:v>4.0089000000000227E-3</c:v>
                </c:pt>
                <c:pt idx="62">
                  <c:v>4.2284999999999502E-3</c:v>
                </c:pt>
                <c:pt idx="63">
                  <c:v>4.4636999999999845E-3</c:v>
                </c:pt>
                <c:pt idx="64">
                  <c:v>4.7299999999999764E-3</c:v>
                </c:pt>
                <c:pt idx="65">
                  <c:v>5.0398000000000309E-3</c:v>
                </c:pt>
                <c:pt idx="66">
                  <c:v>5.4032000000000906E-3</c:v>
                </c:pt>
                <c:pt idx="67">
                  <c:v>5.8288000000000168E-3</c:v>
                </c:pt>
                <c:pt idx="68">
                  <c:v>6.3263999999999881E-3</c:v>
                </c:pt>
                <c:pt idx="69">
                  <c:v>6.9088999999999574E-3</c:v>
                </c:pt>
                <c:pt idx="70">
                  <c:v>7.5944999999998904E-3</c:v>
                </c:pt>
                <c:pt idx="71">
                  <c:v>8.4104999999999302E-3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6B-42FA-9B73-F6D38B393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2229504"/>
        <c:axId val="403793792"/>
      </c:lineChart>
      <c:catAx>
        <c:axId val="3822295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CH"/>
                  <a:t>Alter</a:t>
                </a:r>
              </a:p>
            </c:rich>
          </c:tx>
          <c:layout>
            <c:manualLayout>
              <c:xMode val="edge"/>
              <c:yMode val="edge"/>
              <c:x val="0.5357942916605497"/>
              <c:y val="0.90746763704145328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 ;[Red]\-#,##0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403793792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403793792"/>
        <c:scaling>
          <c:orientation val="minMax"/>
          <c:max val="2.5000000000000012E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de-CH"/>
                  <a:t>Mortalität</a:t>
                </a:r>
              </a:p>
            </c:rich>
          </c:tx>
          <c:layout>
            <c:manualLayout>
              <c:xMode val="edge"/>
              <c:yMode val="edge"/>
              <c:x val="1.1185584137605965E-2"/>
              <c:y val="0.3928570547480521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0000_ ;[Red]\-#,##0.0000000\ 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382229504"/>
        <c:crosses val="autoZero"/>
        <c:crossBetween val="midCat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6585958649182598"/>
          <c:y val="0.95220492999732709"/>
          <c:w val="0.38514770540826648"/>
          <c:h val="2.819555519006599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de-DE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de-DE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2</xdr:row>
      <xdr:rowOff>38100</xdr:rowOff>
    </xdr:from>
    <xdr:to>
      <xdr:col>24</xdr:col>
      <xdr:colOff>28575</xdr:colOff>
      <xdr:row>47</xdr:row>
      <xdr:rowOff>28575</xdr:rowOff>
    </xdr:to>
    <xdr:graphicFrame macro="">
      <xdr:nvGraphicFramePr>
        <xdr:cNvPr id="6264" name="Chart 1">
          <a:extLst>
            <a:ext uri="{FF2B5EF4-FFF2-40B4-BE49-F238E27FC236}">
              <a16:creationId xmlns:a16="http://schemas.microsoft.com/office/drawing/2014/main" id="{00000000-0008-0000-0400-0000781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N134"/>
  <sheetViews>
    <sheetView zoomScale="63" zoomScaleNormal="88" zoomScaleSheetLayoutView="100" workbookViewId="0">
      <pane ySplit="3" topLeftCell="A91" activePane="bottomLeft" state="frozen"/>
      <selection activeCell="A4" sqref="A4"/>
      <selection pane="bottomLeft" activeCell="N30" sqref="N30"/>
    </sheetView>
  </sheetViews>
  <sheetFormatPr baseColWidth="10" defaultColWidth="9.1640625" defaultRowHeight="13" x14ac:dyDescent="0.15"/>
  <cols>
    <col min="1" max="1" width="9.33203125" bestFit="1" customWidth="1"/>
    <col min="2" max="2" width="12" bestFit="1" customWidth="1"/>
    <col min="3" max="3" width="11.5" bestFit="1" customWidth="1"/>
    <col min="4" max="4" width="9.5" bestFit="1" customWidth="1"/>
    <col min="5" max="5" width="6.1640625" bestFit="1" customWidth="1"/>
    <col min="6" max="6" width="11.5" style="42" bestFit="1" customWidth="1"/>
    <col min="7" max="7" width="13" style="42" bestFit="1" customWidth="1"/>
    <col min="8" max="8" width="15" style="42" bestFit="1" customWidth="1"/>
    <col min="9" max="9" width="9.5" style="42" bestFit="1" customWidth="1"/>
    <col min="10" max="10" width="10.5" style="42" bestFit="1" customWidth="1"/>
    <col min="11" max="11" width="13" style="42" bestFit="1" customWidth="1"/>
    <col min="14" max="14" width="9.1640625" customWidth="1"/>
  </cols>
  <sheetData>
    <row r="1" spans="1:14" ht="16" x14ac:dyDescent="0.2">
      <c r="A1" s="34" t="s">
        <v>25</v>
      </c>
      <c r="C1" s="24" t="s">
        <v>6</v>
      </c>
      <c r="D1" s="39">
        <v>5.0000000000000001E-4</v>
      </c>
    </row>
    <row r="2" spans="1:14" ht="14" thickBot="1" x14ac:dyDescent="0.2">
      <c r="A2" s="50">
        <v>1</v>
      </c>
      <c r="B2" s="50">
        <f>A2+1</f>
        <v>2</v>
      </c>
      <c r="C2" s="50">
        <f t="shared" ref="C2:K2" si="0">B2+1</f>
        <v>3</v>
      </c>
      <c r="D2" s="50">
        <f t="shared" si="0"/>
        <v>4</v>
      </c>
      <c r="E2" s="50">
        <f t="shared" si="0"/>
        <v>5</v>
      </c>
      <c r="F2" s="50">
        <f t="shared" si="0"/>
        <v>6</v>
      </c>
      <c r="G2" s="50">
        <f t="shared" si="0"/>
        <v>7</v>
      </c>
      <c r="H2" s="50">
        <f t="shared" si="0"/>
        <v>8</v>
      </c>
      <c r="I2" s="50">
        <f t="shared" si="0"/>
        <v>9</v>
      </c>
      <c r="J2" s="50">
        <f t="shared" si="0"/>
        <v>10</v>
      </c>
      <c r="K2" s="50">
        <f t="shared" si="0"/>
        <v>11</v>
      </c>
    </row>
    <row r="3" spans="1:14" ht="17" thickBot="1" x14ac:dyDescent="0.25">
      <c r="A3" s="29" t="s">
        <v>0</v>
      </c>
      <c r="B3" s="30" t="s">
        <v>1</v>
      </c>
      <c r="C3" s="29" t="s">
        <v>5</v>
      </c>
      <c r="D3" s="31" t="s">
        <v>8</v>
      </c>
      <c r="E3" s="32" t="s">
        <v>7</v>
      </c>
      <c r="F3" s="43" t="s">
        <v>9</v>
      </c>
      <c r="G3" s="44" t="s">
        <v>10</v>
      </c>
      <c r="H3" s="45" t="s">
        <v>11</v>
      </c>
      <c r="I3" s="43" t="s">
        <v>12</v>
      </c>
      <c r="J3" s="44" t="s">
        <v>14</v>
      </c>
      <c r="K3" s="45" t="s">
        <v>13</v>
      </c>
    </row>
    <row r="4" spans="1:14" x14ac:dyDescent="0.15">
      <c r="A4" s="1">
        <v>0</v>
      </c>
      <c r="B4" s="20">
        <v>3.0963000000000002E-3</v>
      </c>
      <c r="C4" s="23">
        <v>100000</v>
      </c>
      <c r="D4" s="51">
        <f>C4-C5</f>
        <v>309.63000000000466</v>
      </c>
      <c r="E4" s="54">
        <f t="shared" ref="E4:E67" si="1">(1+$D$1)^(-$A4)</f>
        <v>1</v>
      </c>
      <c r="F4" s="55">
        <f>C4*E4</f>
        <v>100000</v>
      </c>
      <c r="G4" s="56">
        <f t="shared" ref="G4:H67" si="2">G5+F4</f>
        <v>7533738.3885208964</v>
      </c>
      <c r="H4" s="57">
        <f t="shared" si="2"/>
        <v>306090307.68843138</v>
      </c>
      <c r="I4" s="55">
        <f>D4*E5</f>
        <v>309.47526236882027</v>
      </c>
      <c r="J4" s="56">
        <f t="shared" ref="J4:J67" si="3">J5+I4</f>
        <v>96235.01329909022</v>
      </c>
      <c r="K4" s="57">
        <f t="shared" ref="K4:K67" si="4">K5+J4</f>
        <v>7380769.7190114427</v>
      </c>
      <c r="M4" t="s">
        <v>33</v>
      </c>
      <c r="N4" s="67">
        <f>SUM(B49:B63)</f>
        <v>8.2414299999999996E-2</v>
      </c>
    </row>
    <row r="5" spans="1:14" x14ac:dyDescent="0.15">
      <c r="A5" s="1">
        <f t="shared" ref="A5:A68" si="5">1+A4</f>
        <v>1</v>
      </c>
      <c r="B5" s="20">
        <v>1.1770000000000001E-3</v>
      </c>
      <c r="C5" s="5">
        <f>+C4*(1-$B4)</f>
        <v>99690.37</v>
      </c>
      <c r="D5" s="51">
        <f t="shared" ref="D5:D68" si="6">C5-C6</f>
        <v>117.33556548999331</v>
      </c>
      <c r="E5" s="54">
        <f t="shared" si="1"/>
        <v>0.99950024987506247</v>
      </c>
      <c r="F5" s="55">
        <f t="shared" ref="F5:F68" si="7">C5*E5</f>
        <v>99640.549725137433</v>
      </c>
      <c r="G5" s="56">
        <f t="shared" si="2"/>
        <v>7433738.3885208964</v>
      </c>
      <c r="H5" s="57">
        <f t="shared" si="2"/>
        <v>298556569.29991049</v>
      </c>
      <c r="I5" s="55">
        <f t="shared" ref="I5:I68" si="8">D5*E6</f>
        <v>117.2183178675463</v>
      </c>
      <c r="J5" s="56">
        <f t="shared" si="3"/>
        <v>95925.538036721395</v>
      </c>
      <c r="K5" s="57">
        <f t="shared" si="4"/>
        <v>7284534.7057123529</v>
      </c>
      <c r="M5" s="40"/>
      <c r="N5">
        <f>(C49-C64)/C49</f>
        <v>7.9353972776303419E-2</v>
      </c>
    </row>
    <row r="6" spans="1:14" x14ac:dyDescent="0.15">
      <c r="A6" s="1">
        <f t="shared" si="5"/>
        <v>2</v>
      </c>
      <c r="B6" s="20">
        <v>8.051E-4</v>
      </c>
      <c r="C6" s="5">
        <f t="shared" ref="C6:C69" si="9">+C5*(1-$B5)</f>
        <v>99573.034434510002</v>
      </c>
      <c r="D6" s="51">
        <f t="shared" si="6"/>
        <v>80.166250023219618</v>
      </c>
      <c r="E6" s="54">
        <f t="shared" si="1"/>
        <v>0.99900074950031237</v>
      </c>
      <c r="F6" s="55">
        <f t="shared" si="7"/>
        <v>99473.5360300959</v>
      </c>
      <c r="G6" s="56">
        <f t="shared" si="2"/>
        <v>7334097.8387957588</v>
      </c>
      <c r="H6" s="57">
        <f t="shared" si="2"/>
        <v>291122830.91138959</v>
      </c>
      <c r="I6" s="55">
        <f t="shared" si="8"/>
        <v>80.046120797427122</v>
      </c>
      <c r="J6" s="56">
        <f t="shared" si="3"/>
        <v>95808.319718853847</v>
      </c>
      <c r="K6" s="57">
        <f t="shared" si="4"/>
        <v>7188609.1676756311</v>
      </c>
      <c r="M6" s="40"/>
    </row>
    <row r="7" spans="1:14" x14ac:dyDescent="0.15">
      <c r="A7" s="1">
        <f t="shared" si="5"/>
        <v>3</v>
      </c>
      <c r="B7" s="20">
        <v>7.1929999999999997E-4</v>
      </c>
      <c r="C7" s="5">
        <f t="shared" si="9"/>
        <v>99492.868184486782</v>
      </c>
      <c r="D7" s="51">
        <f t="shared" si="6"/>
        <v>71.565220085103647</v>
      </c>
      <c r="E7" s="54">
        <f t="shared" si="1"/>
        <v>0.99850149875093686</v>
      </c>
      <c r="F7" s="55">
        <f t="shared" si="7"/>
        <v>99343.777997239449</v>
      </c>
      <c r="G7" s="56">
        <f t="shared" si="2"/>
        <v>7234624.3027656628</v>
      </c>
      <c r="H7" s="57">
        <f t="shared" si="2"/>
        <v>283788733.07259381</v>
      </c>
      <c r="I7" s="55">
        <f t="shared" si="8"/>
        <v>71.422268379227035</v>
      </c>
      <c r="J7" s="56">
        <f t="shared" si="3"/>
        <v>95728.273598056418</v>
      </c>
      <c r="K7" s="57">
        <f t="shared" si="4"/>
        <v>7092800.8479567776</v>
      </c>
      <c r="M7" s="40"/>
    </row>
    <row r="8" spans="1:14" x14ac:dyDescent="0.15">
      <c r="A8" s="1">
        <f t="shared" si="5"/>
        <v>4</v>
      </c>
      <c r="B8" s="20">
        <v>6.4309999999999997E-4</v>
      </c>
      <c r="C8" s="5">
        <f t="shared" si="9"/>
        <v>99421.302964401679</v>
      </c>
      <c r="D8" s="51">
        <f t="shared" si="6"/>
        <v>63.937839936406817</v>
      </c>
      <c r="E8" s="54">
        <f t="shared" si="1"/>
        <v>0.99800249750218584</v>
      </c>
      <c r="F8" s="55">
        <f t="shared" si="7"/>
        <v>99222.708663394355</v>
      </c>
      <c r="G8" s="56">
        <f t="shared" si="2"/>
        <v>7135280.5247684233</v>
      </c>
      <c r="H8" s="57">
        <f t="shared" si="2"/>
        <v>276554108.76982814</v>
      </c>
      <c r="I8" s="55">
        <f t="shared" si="8"/>
        <v>63.778234824017005</v>
      </c>
      <c r="J8" s="56">
        <f t="shared" si="3"/>
        <v>95656.851329677185</v>
      </c>
      <c r="K8" s="57">
        <f t="shared" si="4"/>
        <v>6997072.5743587213</v>
      </c>
      <c r="M8" s="40"/>
    </row>
    <row r="9" spans="1:14" x14ac:dyDescent="0.15">
      <c r="A9" s="1">
        <f t="shared" si="5"/>
        <v>5</v>
      </c>
      <c r="B9" s="20">
        <v>5.7700000000000004E-4</v>
      </c>
      <c r="C9" s="5">
        <f t="shared" si="9"/>
        <v>99357.365124465272</v>
      </c>
      <c r="D9" s="51">
        <f t="shared" si="6"/>
        <v>57.329199676823919</v>
      </c>
      <c r="E9" s="54">
        <f t="shared" si="1"/>
        <v>0.99750374562937127</v>
      </c>
      <c r="F9" s="55">
        <f t="shared" si="7"/>
        <v>99109.343867519172</v>
      </c>
      <c r="G9" s="56">
        <f t="shared" si="2"/>
        <v>7036057.8161050286</v>
      </c>
      <c r="H9" s="57">
        <f t="shared" si="2"/>
        <v>269418828.24505973</v>
      </c>
      <c r="I9" s="55">
        <f t="shared" si="8"/>
        <v>57.157512655238385</v>
      </c>
      <c r="J9" s="56">
        <f t="shared" si="3"/>
        <v>95593.073094853171</v>
      </c>
      <c r="K9" s="57">
        <f t="shared" si="4"/>
        <v>6901415.7230290445</v>
      </c>
      <c r="M9" s="40"/>
    </row>
    <row r="10" spans="1:14" x14ac:dyDescent="0.15">
      <c r="A10" s="1">
        <f t="shared" si="5"/>
        <v>6</v>
      </c>
      <c r="B10" s="20">
        <v>5.2170000000000005E-4</v>
      </c>
      <c r="C10" s="5">
        <f t="shared" si="9"/>
        <v>99300.035924788448</v>
      </c>
      <c r="D10" s="51">
        <f t="shared" si="6"/>
        <v>51.804828741951496</v>
      </c>
      <c r="E10" s="54">
        <f t="shared" si="1"/>
        <v>0.99700524300786741</v>
      </c>
      <c r="F10" s="55">
        <f t="shared" si="7"/>
        <v>99002.656447883666</v>
      </c>
      <c r="G10" s="56">
        <f t="shared" si="2"/>
        <v>6936948.4722375097</v>
      </c>
      <c r="H10" s="57">
        <f t="shared" si="2"/>
        <v>262382770.42895472</v>
      </c>
      <c r="I10" s="55">
        <f t="shared" si="8"/>
        <v>51.623873931884354</v>
      </c>
      <c r="J10" s="56">
        <f t="shared" si="3"/>
        <v>95535.915582197937</v>
      </c>
      <c r="K10" s="57">
        <f t="shared" si="4"/>
        <v>6805822.6499341913</v>
      </c>
    </row>
    <row r="11" spans="1:14" x14ac:dyDescent="0.15">
      <c r="A11" s="1">
        <f t="shared" si="5"/>
        <v>7</v>
      </c>
      <c r="B11" s="20">
        <v>4.7790000000000002E-4</v>
      </c>
      <c r="C11" s="5">
        <f t="shared" si="9"/>
        <v>99248.231096046497</v>
      </c>
      <c r="D11" s="51">
        <f t="shared" si="6"/>
        <v>47.43072964080784</v>
      </c>
      <c r="E11" s="54">
        <f t="shared" si="1"/>
        <v>0.99650698951311067</v>
      </c>
      <c r="F11" s="55">
        <f t="shared" si="7"/>
        <v>98901.555984022794</v>
      </c>
      <c r="G11" s="56">
        <f t="shared" si="2"/>
        <v>6837945.815789626</v>
      </c>
      <c r="H11" s="57">
        <f t="shared" si="2"/>
        <v>255445821.95671722</v>
      </c>
      <c r="I11" s="55">
        <f t="shared" si="8"/>
        <v>47.24143288832753</v>
      </c>
      <c r="J11" s="56">
        <f t="shared" si="3"/>
        <v>95484.291708266057</v>
      </c>
      <c r="K11" s="57">
        <f t="shared" si="4"/>
        <v>6710286.7343519935</v>
      </c>
    </row>
    <row r="12" spans="1:14" x14ac:dyDescent="0.15">
      <c r="A12" s="1">
        <f t="shared" si="5"/>
        <v>8</v>
      </c>
      <c r="B12" s="20">
        <v>4.462E-4</v>
      </c>
      <c r="C12" s="5">
        <f t="shared" si="9"/>
        <v>99200.800366405689</v>
      </c>
      <c r="D12" s="51">
        <f t="shared" si="6"/>
        <v>44.263397123489995</v>
      </c>
      <c r="E12" s="54">
        <f t="shared" si="1"/>
        <v>0.99600898502060053</v>
      </c>
      <c r="F12" s="55">
        <f t="shared" si="7"/>
        <v>98804.888486174954</v>
      </c>
      <c r="G12" s="56">
        <f t="shared" si="2"/>
        <v>6739044.259805603</v>
      </c>
      <c r="H12" s="57">
        <f t="shared" si="2"/>
        <v>248607876.14092758</v>
      </c>
      <c r="I12" s="55">
        <f t="shared" si="8"/>
        <v>44.064708888086997</v>
      </c>
      <c r="J12" s="56">
        <f t="shared" si="3"/>
        <v>95437.050275377725</v>
      </c>
      <c r="K12" s="57">
        <f t="shared" si="4"/>
        <v>6614802.4426437272</v>
      </c>
    </row>
    <row r="13" spans="1:14" x14ac:dyDescent="0.15">
      <c r="A13" s="1">
        <f t="shared" si="5"/>
        <v>9</v>
      </c>
      <c r="B13" s="20">
        <v>4.2739999999999998E-4</v>
      </c>
      <c r="C13" s="5">
        <f t="shared" si="9"/>
        <v>99156.536969282199</v>
      </c>
      <c r="D13" s="51">
        <f t="shared" si="6"/>
        <v>42.379503900665441</v>
      </c>
      <c r="E13" s="54">
        <f t="shared" si="1"/>
        <v>0.99551122940589765</v>
      </c>
      <c r="F13" s="55">
        <f t="shared" si="7"/>
        <v>98711.446021921467</v>
      </c>
      <c r="G13" s="56">
        <f t="shared" si="2"/>
        <v>6640239.3713194281</v>
      </c>
      <c r="H13" s="57">
        <f t="shared" si="2"/>
        <v>241868831.88112199</v>
      </c>
      <c r="I13" s="55">
        <f t="shared" si="8"/>
        <v>42.168187935795586</v>
      </c>
      <c r="J13" s="56">
        <f t="shared" si="3"/>
        <v>95392.985566489631</v>
      </c>
      <c r="K13" s="57">
        <f t="shared" si="4"/>
        <v>6519365.3923683492</v>
      </c>
    </row>
    <row r="14" spans="1:14" x14ac:dyDescent="0.15">
      <c r="A14" s="1">
        <f t="shared" si="5"/>
        <v>10</v>
      </c>
      <c r="B14" s="20">
        <v>4.2210000000000001E-4</v>
      </c>
      <c r="C14" s="5">
        <f t="shared" si="9"/>
        <v>99114.157465381533</v>
      </c>
      <c r="D14" s="51">
        <f t="shared" si="6"/>
        <v>41.836085866132635</v>
      </c>
      <c r="E14" s="54">
        <f t="shared" si="1"/>
        <v>0.99501372254462528</v>
      </c>
      <c r="F14" s="55">
        <f t="shared" si="7"/>
        <v>98619.946776503435</v>
      </c>
      <c r="G14" s="56">
        <f t="shared" si="2"/>
        <v>6541527.9252975071</v>
      </c>
      <c r="H14" s="57">
        <f t="shared" si="2"/>
        <v>235228592.50980255</v>
      </c>
      <c r="I14" s="55">
        <f t="shared" si="8"/>
        <v>41.606676196259087</v>
      </c>
      <c r="J14" s="56">
        <f t="shared" si="3"/>
        <v>95350.817378553838</v>
      </c>
      <c r="K14" s="57">
        <f t="shared" si="4"/>
        <v>6423972.4068018598</v>
      </c>
    </row>
    <row r="15" spans="1:14" x14ac:dyDescent="0.15">
      <c r="A15" s="1">
        <f t="shared" si="5"/>
        <v>11</v>
      </c>
      <c r="B15" s="20">
        <v>4.3080000000000001E-4</v>
      </c>
      <c r="C15" s="5">
        <f t="shared" si="9"/>
        <v>99072.321379515401</v>
      </c>
      <c r="D15" s="51">
        <f t="shared" si="6"/>
        <v>42.680356050288538</v>
      </c>
      <c r="E15" s="54">
        <f t="shared" si="1"/>
        <v>0.9945164643124691</v>
      </c>
      <c r="F15" s="55">
        <f t="shared" si="7"/>
        <v>98529.054769584298</v>
      </c>
      <c r="G15" s="56">
        <f t="shared" si="2"/>
        <v>6442907.9785210034</v>
      </c>
      <c r="H15" s="57">
        <f t="shared" si="2"/>
        <v>228687064.58450505</v>
      </c>
      <c r="I15" s="55">
        <f t="shared" si="8"/>
        <v>42.425104242608946</v>
      </c>
      <c r="J15" s="56">
        <f t="shared" si="3"/>
        <v>95309.210702357581</v>
      </c>
      <c r="K15" s="57">
        <f t="shared" si="4"/>
        <v>6328621.5894233063</v>
      </c>
    </row>
    <row r="16" spans="1:14" x14ac:dyDescent="0.15">
      <c r="A16" s="1">
        <f t="shared" si="5"/>
        <v>12</v>
      </c>
      <c r="B16" s="20">
        <v>4.5320000000000001E-4</v>
      </c>
      <c r="C16" s="5">
        <f t="shared" si="9"/>
        <v>99029.641023465112</v>
      </c>
      <c r="D16" s="51">
        <f t="shared" si="6"/>
        <v>44.880233311836491</v>
      </c>
      <c r="E16" s="54">
        <f t="shared" si="1"/>
        <v>0.99401945458517638</v>
      </c>
      <c r="F16" s="55">
        <f t="shared" si="7"/>
        <v>98437.389757910598</v>
      </c>
      <c r="G16" s="56">
        <f t="shared" si="2"/>
        <v>6344378.9237514194</v>
      </c>
      <c r="H16" s="57">
        <f t="shared" si="2"/>
        <v>222244156.60598406</v>
      </c>
      <c r="I16" s="55">
        <f t="shared" si="8"/>
        <v>44.589530273150608</v>
      </c>
      <c r="J16" s="56">
        <f t="shared" si="3"/>
        <v>95266.785598114977</v>
      </c>
      <c r="K16" s="57">
        <f t="shared" si="4"/>
        <v>6233312.3787209485</v>
      </c>
    </row>
    <row r="17" spans="1:14" x14ac:dyDescent="0.15">
      <c r="A17" s="1">
        <f t="shared" si="5"/>
        <v>13</v>
      </c>
      <c r="B17" s="20">
        <v>4.9620000000000003E-4</v>
      </c>
      <c r="C17" s="5">
        <f t="shared" si="9"/>
        <v>98984.760790153276</v>
      </c>
      <c r="D17" s="51">
        <f t="shared" si="6"/>
        <v>49.116238304064609</v>
      </c>
      <c r="E17" s="54">
        <f t="shared" si="1"/>
        <v>0.99352269323855724</v>
      </c>
      <c r="F17" s="55">
        <f t="shared" si="7"/>
        <v>98343.60612980742</v>
      </c>
      <c r="G17" s="56">
        <f t="shared" si="2"/>
        <v>6245941.5339935087</v>
      </c>
      <c r="H17" s="57">
        <f t="shared" si="2"/>
        <v>215899777.68223265</v>
      </c>
      <c r="I17" s="55">
        <f t="shared" si="8"/>
        <v>48.773710506347896</v>
      </c>
      <c r="J17" s="56">
        <f t="shared" si="3"/>
        <v>95222.196067841825</v>
      </c>
      <c r="K17" s="57">
        <f t="shared" si="4"/>
        <v>6138045.5931228334</v>
      </c>
    </row>
    <row r="18" spans="1:14" x14ac:dyDescent="0.15">
      <c r="A18" s="1">
        <f t="shared" si="5"/>
        <v>14</v>
      </c>
      <c r="B18" s="20">
        <v>5.911E-4</v>
      </c>
      <c r="C18" s="5">
        <f t="shared" si="9"/>
        <v>98935.644551849211</v>
      </c>
      <c r="D18" s="51">
        <f t="shared" si="6"/>
        <v>58.48085949459346</v>
      </c>
      <c r="E18" s="54">
        <f t="shared" si="1"/>
        <v>0.99302618014848321</v>
      </c>
      <c r="F18" s="55">
        <f t="shared" si="7"/>
        <v>98245.685189850919</v>
      </c>
      <c r="G18" s="56">
        <f t="shared" si="2"/>
        <v>6147597.9278637012</v>
      </c>
      <c r="H18" s="57">
        <f t="shared" si="2"/>
        <v>209653836.14823914</v>
      </c>
      <c r="I18" s="55">
        <f t="shared" si="8"/>
        <v>58.044002514459059</v>
      </c>
      <c r="J18" s="56">
        <f t="shared" si="3"/>
        <v>95173.422357335483</v>
      </c>
      <c r="K18" s="57">
        <f t="shared" si="4"/>
        <v>6042823.3970549917</v>
      </c>
    </row>
    <row r="19" spans="1:14" x14ac:dyDescent="0.15">
      <c r="A19" s="1">
        <f t="shared" si="5"/>
        <v>15</v>
      </c>
      <c r="B19" s="20">
        <v>7.7150000000000005E-4</v>
      </c>
      <c r="C19" s="5">
        <f t="shared" si="9"/>
        <v>98877.163692354618</v>
      </c>
      <c r="D19" s="51">
        <f t="shared" si="6"/>
        <v>76.28373178865877</v>
      </c>
      <c r="E19" s="54">
        <f t="shared" si="1"/>
        <v>0.99252991519088751</v>
      </c>
      <c r="F19" s="55">
        <f t="shared" si="7"/>
        <v>98138.542893888225</v>
      </c>
      <c r="G19" s="56">
        <f t="shared" si="2"/>
        <v>6049352.2426738506</v>
      </c>
      <c r="H19" s="57">
        <f t="shared" si="2"/>
        <v>203506238.22037545</v>
      </c>
      <c r="I19" s="55">
        <f t="shared" si="8"/>
        <v>75.676047818732542</v>
      </c>
      <c r="J19" s="56">
        <f t="shared" si="3"/>
        <v>95115.378354821019</v>
      </c>
      <c r="K19" s="57">
        <f t="shared" si="4"/>
        <v>5947649.974697656</v>
      </c>
    </row>
    <row r="20" spans="1:14" x14ac:dyDescent="0.15">
      <c r="A20" s="1">
        <f t="shared" si="5"/>
        <v>16</v>
      </c>
      <c r="B20" s="20">
        <v>1.0666E-3</v>
      </c>
      <c r="C20" s="5">
        <f t="shared" si="9"/>
        <v>98800.879960565959</v>
      </c>
      <c r="D20" s="51">
        <f t="shared" si="6"/>
        <v>105.38101856593858</v>
      </c>
      <c r="E20" s="54">
        <f t="shared" si="1"/>
        <v>0.99203389824176669</v>
      </c>
      <c r="F20" s="55">
        <f t="shared" si="7"/>
        <v>98013.822096997101</v>
      </c>
      <c r="G20" s="56">
        <f t="shared" si="2"/>
        <v>5951213.6997799622</v>
      </c>
      <c r="H20" s="57">
        <f t="shared" si="2"/>
        <v>197456885.9777016</v>
      </c>
      <c r="I20" s="55">
        <f t="shared" si="8"/>
        <v>104.48929799965623</v>
      </c>
      <c r="J20" s="56">
        <f t="shared" si="3"/>
        <v>95039.702307002284</v>
      </c>
      <c r="K20" s="57">
        <f t="shared" si="4"/>
        <v>5852534.5963428346</v>
      </c>
    </row>
    <row r="21" spans="1:14" x14ac:dyDescent="0.15">
      <c r="A21" s="1">
        <f t="shared" si="5"/>
        <v>17</v>
      </c>
      <c r="B21" s="20">
        <v>1.4748999999999999E-3</v>
      </c>
      <c r="C21" s="5">
        <f t="shared" si="9"/>
        <v>98695.49894200002</v>
      </c>
      <c r="D21" s="51">
        <f t="shared" si="6"/>
        <v>145.56599138955062</v>
      </c>
      <c r="E21" s="54">
        <f t="shared" si="1"/>
        <v>0.99153812917717832</v>
      </c>
      <c r="F21" s="55">
        <f t="shared" si="7"/>
        <v>97860.350379158888</v>
      </c>
      <c r="G21" s="56">
        <f t="shared" si="2"/>
        <v>5853199.8776829652</v>
      </c>
      <c r="H21" s="57">
        <f t="shared" si="2"/>
        <v>191505672.27792165</v>
      </c>
      <c r="I21" s="55">
        <f t="shared" si="8"/>
        <v>144.26209972435407</v>
      </c>
      <c r="J21" s="56">
        <f t="shared" si="3"/>
        <v>94935.213009002633</v>
      </c>
      <c r="K21" s="57">
        <f t="shared" si="4"/>
        <v>5757494.894035832</v>
      </c>
    </row>
    <row r="22" spans="1:14" x14ac:dyDescent="0.15">
      <c r="A22" s="1">
        <f t="shared" si="5"/>
        <v>18</v>
      </c>
      <c r="B22" s="20">
        <v>1.8875999999999999E-3</v>
      </c>
      <c r="C22" s="5">
        <f t="shared" si="9"/>
        <v>98549.93295061047</v>
      </c>
      <c r="D22" s="51">
        <f t="shared" si="6"/>
        <v>186.02285343757831</v>
      </c>
      <c r="E22" s="54">
        <f t="shared" si="1"/>
        <v>0.99104260787324161</v>
      </c>
      <c r="F22" s="55">
        <f t="shared" si="7"/>
        <v>97667.182557106105</v>
      </c>
      <c r="G22" s="56">
        <f t="shared" si="2"/>
        <v>5755339.5273038065</v>
      </c>
      <c r="H22" s="57">
        <f t="shared" si="2"/>
        <v>185652472.40023869</v>
      </c>
      <c r="I22" s="55">
        <f t="shared" si="8"/>
        <v>184.26444157401241</v>
      </c>
      <c r="J22" s="56">
        <f t="shared" si="3"/>
        <v>94790.950909278283</v>
      </c>
      <c r="K22" s="57">
        <f t="shared" si="4"/>
        <v>5662559.6810268294</v>
      </c>
    </row>
    <row r="23" spans="1:14" x14ac:dyDescent="0.15">
      <c r="A23" s="1">
        <f t="shared" si="5"/>
        <v>19</v>
      </c>
      <c r="B23" s="20">
        <v>2.1770000000000001E-3</v>
      </c>
      <c r="C23" s="5">
        <f t="shared" si="9"/>
        <v>98363.910097172891</v>
      </c>
      <c r="D23" s="51">
        <f t="shared" si="6"/>
        <v>214.13823228154797</v>
      </c>
      <c r="E23" s="54">
        <f t="shared" si="1"/>
        <v>0.9905473342061385</v>
      </c>
      <c r="F23" s="55">
        <f t="shared" si="7"/>
        <v>97434.108928846879</v>
      </c>
      <c r="G23" s="56">
        <f t="shared" si="2"/>
        <v>5657672.3447467005</v>
      </c>
      <c r="H23" s="57">
        <f t="shared" si="2"/>
        <v>179897132.87293488</v>
      </c>
      <c r="I23" s="55">
        <f t="shared" si="8"/>
        <v>212.00805111254593</v>
      </c>
      <c r="J23" s="56">
        <f t="shared" si="3"/>
        <v>94606.686467704276</v>
      </c>
      <c r="K23" s="57">
        <f t="shared" si="4"/>
        <v>5567768.7301175511</v>
      </c>
    </row>
    <row r="24" spans="1:14" x14ac:dyDescent="0.15">
      <c r="A24" s="1">
        <f t="shared" si="5"/>
        <v>20</v>
      </c>
      <c r="B24" s="20">
        <v>2.2539000000000001E-3</v>
      </c>
      <c r="C24" s="5">
        <f t="shared" si="9"/>
        <v>98149.771864891343</v>
      </c>
      <c r="D24" s="51">
        <f t="shared" si="6"/>
        <v>221.21977080628858</v>
      </c>
      <c r="E24" s="54">
        <f t="shared" si="1"/>
        <v>0.99005230805211242</v>
      </c>
      <c r="F24" s="55">
        <f t="shared" si="7"/>
        <v>97173.408169623959</v>
      </c>
      <c r="G24" s="56">
        <f t="shared" si="2"/>
        <v>5560238.2358178534</v>
      </c>
      <c r="H24" s="57">
        <f t="shared" si="2"/>
        <v>174239460.52818817</v>
      </c>
      <c r="I24" s="55">
        <f t="shared" si="8"/>
        <v>218.90968982861105</v>
      </c>
      <c r="J24" s="56">
        <f t="shared" si="3"/>
        <v>94394.678416591734</v>
      </c>
      <c r="K24" s="57">
        <f t="shared" si="4"/>
        <v>5473162.0436498467</v>
      </c>
    </row>
    <row r="25" spans="1:14" x14ac:dyDescent="0.15">
      <c r="A25" s="1">
        <f t="shared" si="5"/>
        <v>21</v>
      </c>
      <c r="B25" s="20">
        <v>2.1743999999999999E-3</v>
      </c>
      <c r="C25" s="5">
        <f t="shared" si="9"/>
        <v>97928.552094085055</v>
      </c>
      <c r="D25" s="51">
        <f t="shared" si="6"/>
        <v>212.93584367337462</v>
      </c>
      <c r="E25" s="54">
        <f t="shared" si="1"/>
        <v>0.98955752928746887</v>
      </c>
      <c r="F25" s="55">
        <f t="shared" si="7"/>
        <v>96905.936056921986</v>
      </c>
      <c r="G25" s="56">
        <f t="shared" si="2"/>
        <v>5463064.827648229</v>
      </c>
      <c r="H25" s="57">
        <f t="shared" si="2"/>
        <v>168679222.29237032</v>
      </c>
      <c r="I25" s="55">
        <f t="shared" si="8"/>
        <v>210.6069638802272</v>
      </c>
      <c r="J25" s="56">
        <f t="shared" si="3"/>
        <v>94175.768726763126</v>
      </c>
      <c r="K25" s="57">
        <f t="shared" si="4"/>
        <v>5378767.3652332546</v>
      </c>
    </row>
    <row r="26" spans="1:14" x14ac:dyDescent="0.15">
      <c r="A26" s="1">
        <f t="shared" si="5"/>
        <v>22</v>
      </c>
      <c r="B26" s="20">
        <v>2.0281000000000001E-3</v>
      </c>
      <c r="C26" s="5">
        <f t="shared" si="9"/>
        <v>97715.61625041168</v>
      </c>
      <c r="D26" s="51">
        <f t="shared" si="6"/>
        <v>198.17704131745268</v>
      </c>
      <c r="E26" s="54">
        <f t="shared" si="1"/>
        <v>0.98906299778857465</v>
      </c>
      <c r="F26" s="55">
        <f t="shared" si="7"/>
        <v>96646.900339390137</v>
      </c>
      <c r="G26" s="56">
        <f t="shared" si="2"/>
        <v>5366158.8915913068</v>
      </c>
      <c r="H26" s="57">
        <f t="shared" si="2"/>
        <v>163216157.4647221</v>
      </c>
      <c r="I26" s="55">
        <f t="shared" si="8"/>
        <v>195.91162276692646</v>
      </c>
      <c r="J26" s="56">
        <f t="shared" si="3"/>
        <v>93965.161762882897</v>
      </c>
      <c r="K26" s="57">
        <f t="shared" si="4"/>
        <v>5284591.5965064913</v>
      </c>
    </row>
    <row r="27" spans="1:14" x14ac:dyDescent="0.15">
      <c r="A27" s="1">
        <f t="shared" si="5"/>
        <v>23</v>
      </c>
      <c r="B27" s="20">
        <v>1.8632E-3</v>
      </c>
      <c r="C27" s="5">
        <f t="shared" si="9"/>
        <v>97517.439209094227</v>
      </c>
      <c r="D27" s="51">
        <f t="shared" si="6"/>
        <v>181.69449273438659</v>
      </c>
      <c r="E27" s="54">
        <f t="shared" si="1"/>
        <v>0.98856871343185848</v>
      </c>
      <c r="F27" s="55">
        <f t="shared" si="7"/>
        <v>96402.689416103749</v>
      </c>
      <c r="G27" s="56">
        <f t="shared" si="2"/>
        <v>5269511.9912519166</v>
      </c>
      <c r="H27" s="57">
        <f t="shared" si="2"/>
        <v>157849998.57313079</v>
      </c>
      <c r="I27" s="55">
        <f t="shared" si="8"/>
        <v>179.52772705655846</v>
      </c>
      <c r="J27" s="56">
        <f t="shared" si="3"/>
        <v>93769.250140115968</v>
      </c>
      <c r="K27" s="57">
        <f t="shared" si="4"/>
        <v>5190626.4347436083</v>
      </c>
    </row>
    <row r="28" spans="1:14" x14ac:dyDescent="0.15">
      <c r="A28" s="1">
        <f t="shared" si="5"/>
        <v>24</v>
      </c>
      <c r="B28" s="20">
        <v>1.7139E-3</v>
      </c>
      <c r="C28" s="5">
        <f t="shared" si="9"/>
        <v>97335.744716359841</v>
      </c>
      <c r="D28" s="51">
        <f t="shared" si="6"/>
        <v>166.82373286937946</v>
      </c>
      <c r="E28" s="54">
        <f t="shared" si="1"/>
        <v>0.98807467609381172</v>
      </c>
      <c r="F28" s="55">
        <f t="shared" si="7"/>
        <v>96174.984432967191</v>
      </c>
      <c r="G28" s="56">
        <f t="shared" si="2"/>
        <v>5173109.3018358126</v>
      </c>
      <c r="H28" s="57">
        <f t="shared" si="2"/>
        <v>152580486.58187887</v>
      </c>
      <c r="I28" s="55">
        <f t="shared" si="8"/>
        <v>164.75192985474533</v>
      </c>
      <c r="J28" s="56">
        <f t="shared" si="3"/>
        <v>93589.722413059411</v>
      </c>
      <c r="K28" s="57">
        <f t="shared" si="4"/>
        <v>5096857.1846034927</v>
      </c>
      <c r="M28" t="s">
        <v>35</v>
      </c>
      <c r="N28">
        <f>12000*(G69)/(G44-G69)</f>
        <v>7835.4271633741773</v>
      </c>
    </row>
    <row r="29" spans="1:14" x14ac:dyDescent="0.15">
      <c r="A29" s="1">
        <f t="shared" si="5"/>
        <v>25</v>
      </c>
      <c r="B29" s="20">
        <v>1.5934E-3</v>
      </c>
      <c r="C29" s="5">
        <f t="shared" si="9"/>
        <v>97168.920983490461</v>
      </c>
      <c r="D29" s="51">
        <f t="shared" si="6"/>
        <v>154.82895869508502</v>
      </c>
      <c r="E29" s="54">
        <f t="shared" si="1"/>
        <v>0.98758088565098634</v>
      </c>
      <c r="F29" s="55">
        <f t="shared" si="7"/>
        <v>95962.169042626221</v>
      </c>
      <c r="G29" s="56">
        <f t="shared" si="2"/>
        <v>5076934.3174028452</v>
      </c>
      <c r="H29" s="57">
        <f t="shared" si="2"/>
        <v>147407377.28004307</v>
      </c>
      <c r="I29" s="55">
        <f t="shared" si="8"/>
        <v>152.82970529986213</v>
      </c>
      <c r="J29" s="56">
        <f t="shared" si="3"/>
        <v>93424.97048320467</v>
      </c>
      <c r="K29" s="57">
        <f t="shared" si="4"/>
        <v>5003267.4621904334</v>
      </c>
    </row>
    <row r="30" spans="1:14" x14ac:dyDescent="0.15">
      <c r="A30" s="1">
        <f t="shared" si="5"/>
        <v>26</v>
      </c>
      <c r="B30" s="20">
        <v>1.4966000000000001E-3</v>
      </c>
      <c r="C30" s="5">
        <f t="shared" si="9"/>
        <v>97014.092024795376</v>
      </c>
      <c r="D30" s="51">
        <f t="shared" si="6"/>
        <v>145.19129012430494</v>
      </c>
      <c r="E30" s="54">
        <f t="shared" si="1"/>
        <v>0.98708734197999637</v>
      </c>
      <c r="F30" s="55">
        <f t="shared" si="7"/>
        <v>95761.382231358031</v>
      </c>
      <c r="G30" s="56">
        <f t="shared" si="2"/>
        <v>4980972.1483602189</v>
      </c>
      <c r="H30" s="57">
        <f t="shared" si="2"/>
        <v>142330442.96264023</v>
      </c>
      <c r="I30" s="55">
        <f t="shared" si="8"/>
        <v>143.24486221633848</v>
      </c>
      <c r="J30" s="56">
        <f t="shared" si="3"/>
        <v>93272.140777904802</v>
      </c>
      <c r="K30" s="57">
        <f t="shared" si="4"/>
        <v>4909842.4917072291</v>
      </c>
      <c r="M30" t="s">
        <v>36</v>
      </c>
      <c r="N30">
        <f>12000*(G79)/(G44-G69)</f>
        <v>3939.7644489889572</v>
      </c>
    </row>
    <row r="31" spans="1:14" x14ac:dyDescent="0.15">
      <c r="A31" s="1">
        <f t="shared" si="5"/>
        <v>27</v>
      </c>
      <c r="B31" s="20">
        <v>1.421E-3</v>
      </c>
      <c r="C31" s="5">
        <f t="shared" si="9"/>
        <v>96868.900734671071</v>
      </c>
      <c r="D31" s="51">
        <f t="shared" si="6"/>
        <v>137.65070794396161</v>
      </c>
      <c r="E31" s="54">
        <f t="shared" si="1"/>
        <v>0.98659404495751746</v>
      </c>
      <c r="F31" s="55">
        <f t="shared" si="7"/>
        <v>95570.280606407367</v>
      </c>
      <c r="G31" s="56">
        <f t="shared" si="2"/>
        <v>4885210.7661288604</v>
      </c>
      <c r="H31" s="57">
        <f t="shared" si="2"/>
        <v>137349470.81428</v>
      </c>
      <c r="I31" s="55">
        <f t="shared" si="8"/>
        <v>135.73749999170312</v>
      </c>
      <c r="J31" s="56">
        <f t="shared" si="3"/>
        <v>93128.895915688467</v>
      </c>
      <c r="K31" s="57">
        <f t="shared" si="4"/>
        <v>4816570.3509293245</v>
      </c>
    </row>
    <row r="32" spans="1:14" x14ac:dyDescent="0.15">
      <c r="A32" s="1">
        <f t="shared" si="5"/>
        <v>28</v>
      </c>
      <c r="B32" s="20">
        <v>1.3651E-3</v>
      </c>
      <c r="C32" s="5">
        <f t="shared" si="9"/>
        <v>96731.25002672711</v>
      </c>
      <c r="D32" s="51">
        <f t="shared" si="6"/>
        <v>132.04782941148733</v>
      </c>
      <c r="E32" s="54">
        <f t="shared" si="1"/>
        <v>0.98610099446028743</v>
      </c>
      <c r="F32" s="55">
        <f t="shared" si="7"/>
        <v>95386.781846742306</v>
      </c>
      <c r="G32" s="56">
        <f t="shared" si="2"/>
        <v>4789640.4855224527</v>
      </c>
      <c r="H32" s="57">
        <f t="shared" si="2"/>
        <v>132464260.04815115</v>
      </c>
      <c r="I32" s="55">
        <f t="shared" si="8"/>
        <v>130.1474221878961</v>
      </c>
      <c r="J32" s="56">
        <f t="shared" si="3"/>
        <v>92993.158415696758</v>
      </c>
      <c r="K32" s="57">
        <f t="shared" si="4"/>
        <v>4723441.4550136365</v>
      </c>
    </row>
    <row r="33" spans="1:11" x14ac:dyDescent="0.15">
      <c r="A33" s="1">
        <f t="shared" si="5"/>
        <v>29</v>
      </c>
      <c r="B33" s="20">
        <v>1.3270000000000001E-3</v>
      </c>
      <c r="C33" s="5">
        <f t="shared" si="9"/>
        <v>96599.202197315622</v>
      </c>
      <c r="D33" s="51">
        <f t="shared" si="6"/>
        <v>128.18714131583693</v>
      </c>
      <c r="E33" s="54">
        <f t="shared" si="1"/>
        <v>0.98560819036510483</v>
      </c>
      <c r="F33" s="55">
        <f t="shared" si="7"/>
        <v>95208.964868409108</v>
      </c>
      <c r="G33" s="56">
        <f t="shared" si="2"/>
        <v>4694253.7036757106</v>
      </c>
      <c r="H33" s="57">
        <f t="shared" si="2"/>
        <v>127674619.5626287</v>
      </c>
      <c r="I33" s="55">
        <f t="shared" si="8"/>
        <v>126.27915680197705</v>
      </c>
      <c r="J33" s="56">
        <f t="shared" si="3"/>
        <v>92863.010993508869</v>
      </c>
      <c r="K33" s="57">
        <f t="shared" si="4"/>
        <v>4630448.2965979399</v>
      </c>
    </row>
    <row r="34" spans="1:11" x14ac:dyDescent="0.15">
      <c r="A34" s="1">
        <f t="shared" si="5"/>
        <v>30</v>
      </c>
      <c r="B34" s="20">
        <v>1.305E-3</v>
      </c>
      <c r="C34" s="5">
        <f t="shared" si="9"/>
        <v>96471.015055999786</v>
      </c>
      <c r="D34" s="51">
        <f t="shared" si="6"/>
        <v>125.89467464807967</v>
      </c>
      <c r="E34" s="54">
        <f t="shared" si="1"/>
        <v>0.98511563254883072</v>
      </c>
      <c r="F34" s="55">
        <f t="shared" si="7"/>
        <v>95035.105019519004</v>
      </c>
      <c r="G34" s="56">
        <f t="shared" si="2"/>
        <v>4599044.738807301</v>
      </c>
      <c r="H34" s="57">
        <f t="shared" si="2"/>
        <v>122980365.85895298</v>
      </c>
      <c r="I34" s="55">
        <f t="shared" si="8"/>
        <v>123.95883263415513</v>
      </c>
      <c r="J34" s="56">
        <f t="shared" si="3"/>
        <v>92736.731836706895</v>
      </c>
      <c r="K34" s="57">
        <f t="shared" si="4"/>
        <v>4537585.2856044313</v>
      </c>
    </row>
    <row r="35" spans="1:11" x14ac:dyDescent="0.15">
      <c r="A35" s="1">
        <f t="shared" si="5"/>
        <v>31</v>
      </c>
      <c r="B35" s="20">
        <v>1.2974E-3</v>
      </c>
      <c r="C35" s="5">
        <f t="shared" si="9"/>
        <v>96345.120381351706</v>
      </c>
      <c r="D35" s="51">
        <f t="shared" si="6"/>
        <v>124.99815918276727</v>
      </c>
      <c r="E35" s="54">
        <f t="shared" si="1"/>
        <v>0.98462332088838622</v>
      </c>
      <c r="F35" s="55">
        <f t="shared" si="7"/>
        <v>94863.652381277861</v>
      </c>
      <c r="G35" s="56">
        <f t="shared" si="2"/>
        <v>4504009.6337877819</v>
      </c>
      <c r="H35" s="57">
        <f t="shared" si="2"/>
        <v>118381321.12014568</v>
      </c>
      <c r="I35" s="55">
        <f t="shared" si="8"/>
        <v>123.01459530182055</v>
      </c>
      <c r="J35" s="56">
        <f t="shared" si="3"/>
        <v>92612.773004072733</v>
      </c>
      <c r="K35" s="57">
        <f t="shared" si="4"/>
        <v>4444848.553767724</v>
      </c>
    </row>
    <row r="36" spans="1:11" x14ac:dyDescent="0.15">
      <c r="A36" s="1">
        <f t="shared" si="5"/>
        <v>32</v>
      </c>
      <c r="B36" s="20">
        <v>1.3024E-3</v>
      </c>
      <c r="C36" s="5">
        <f t="shared" si="9"/>
        <v>96220.122222168939</v>
      </c>
      <c r="D36" s="51">
        <f t="shared" si="6"/>
        <v>125.31708718214941</v>
      </c>
      <c r="E36" s="54">
        <f t="shared" si="1"/>
        <v>0.98413125526075607</v>
      </c>
      <c r="F36" s="55">
        <f t="shared" si="7"/>
        <v>94693.22966384649</v>
      </c>
      <c r="G36" s="56">
        <f t="shared" si="2"/>
        <v>4409145.9814065043</v>
      </c>
      <c r="H36" s="57">
        <f t="shared" si="2"/>
        <v>113877311.4863579</v>
      </c>
      <c r="I36" s="55">
        <f t="shared" si="8"/>
        <v>123.26682889974043</v>
      </c>
      <c r="J36" s="56">
        <f t="shared" si="3"/>
        <v>92489.758408770911</v>
      </c>
      <c r="K36" s="57">
        <f t="shared" si="4"/>
        <v>4352235.7807636512</v>
      </c>
    </row>
    <row r="37" spans="1:11" x14ac:dyDescent="0.15">
      <c r="A37" s="1">
        <f t="shared" si="5"/>
        <v>33</v>
      </c>
      <c r="B37" s="20">
        <v>1.3178E-3</v>
      </c>
      <c r="C37" s="5">
        <f t="shared" si="9"/>
        <v>96094.805134986789</v>
      </c>
      <c r="D37" s="51">
        <f t="shared" si="6"/>
        <v>126.63373420688731</v>
      </c>
      <c r="E37" s="54">
        <f t="shared" si="1"/>
        <v>0.98363943554298461</v>
      </c>
      <c r="F37" s="55">
        <f t="shared" si="7"/>
        <v>94522.639881591502</v>
      </c>
      <c r="G37" s="56">
        <f t="shared" si="2"/>
        <v>4314452.7517426582</v>
      </c>
      <c r="H37" s="57">
        <f t="shared" si="2"/>
        <v>109468165.50495139</v>
      </c>
      <c r="I37" s="55">
        <f t="shared" si="8"/>
        <v>124.49968499346626</v>
      </c>
      <c r="J37" s="56">
        <f t="shared" si="3"/>
        <v>92366.491579871174</v>
      </c>
      <c r="K37" s="57">
        <f t="shared" si="4"/>
        <v>4259746.0223548803</v>
      </c>
    </row>
    <row r="38" spans="1:11" x14ac:dyDescent="0.15">
      <c r="A38" s="1">
        <f t="shared" si="5"/>
        <v>34</v>
      </c>
      <c r="B38" s="20">
        <v>1.3420999999999999E-3</v>
      </c>
      <c r="C38" s="5">
        <f t="shared" si="9"/>
        <v>95968.171400779902</v>
      </c>
      <c r="D38" s="51">
        <f t="shared" si="6"/>
        <v>128.79888283698529</v>
      </c>
      <c r="E38" s="54">
        <f t="shared" si="1"/>
        <v>0.98314786161217871</v>
      </c>
      <c r="F38" s="55">
        <f t="shared" si="7"/>
        <v>94350.902495507806</v>
      </c>
      <c r="G38" s="56">
        <f t="shared" si="2"/>
        <v>4219930.1118610669</v>
      </c>
      <c r="H38" s="57">
        <f t="shared" si="2"/>
        <v>105153712.75320873</v>
      </c>
      <c r="I38" s="55">
        <f t="shared" si="8"/>
        <v>126.56506370736594</v>
      </c>
      <c r="J38" s="56">
        <f t="shared" si="3"/>
        <v>92241.991894877705</v>
      </c>
      <c r="K38" s="57">
        <f t="shared" si="4"/>
        <v>4167379.5307750087</v>
      </c>
    </row>
    <row r="39" spans="1:11" x14ac:dyDescent="0.15">
      <c r="A39" s="1">
        <f t="shared" si="5"/>
        <v>35</v>
      </c>
      <c r="B39" s="20">
        <v>1.3734999999999999E-3</v>
      </c>
      <c r="C39" s="5">
        <f t="shared" si="9"/>
        <v>95839.372517942917</v>
      </c>
      <c r="D39" s="51">
        <f t="shared" si="6"/>
        <v>131.63537815339805</v>
      </c>
      <c r="E39" s="54">
        <f t="shared" si="1"/>
        <v>0.98265653334550584</v>
      </c>
      <c r="F39" s="55">
        <f t="shared" si="7"/>
        <v>94177.185556490324</v>
      </c>
      <c r="G39" s="56">
        <f t="shared" si="2"/>
        <v>4125579.2093655593</v>
      </c>
      <c r="H39" s="57">
        <f t="shared" si="2"/>
        <v>100933782.64134766</v>
      </c>
      <c r="I39" s="55">
        <f t="shared" si="8"/>
        <v>129.28772050159205</v>
      </c>
      <c r="J39" s="56">
        <f t="shared" si="3"/>
        <v>92115.426831170334</v>
      </c>
      <c r="K39" s="57">
        <f t="shared" si="4"/>
        <v>4075137.5388801312</v>
      </c>
    </row>
    <row r="40" spans="1:11" x14ac:dyDescent="0.15">
      <c r="A40" s="1">
        <f t="shared" si="5"/>
        <v>36</v>
      </c>
      <c r="B40" s="20">
        <v>1.4105999999999999E-3</v>
      </c>
      <c r="C40" s="5">
        <f t="shared" si="9"/>
        <v>95707.737139789519</v>
      </c>
      <c r="D40" s="51">
        <f t="shared" si="6"/>
        <v>135.0053340093873</v>
      </c>
      <c r="E40" s="54">
        <f t="shared" si="1"/>
        <v>0.98216545062019567</v>
      </c>
      <c r="F40" s="55">
        <f t="shared" si="7"/>
        <v>94000.832775740608</v>
      </c>
      <c r="G40" s="56">
        <f t="shared" si="2"/>
        <v>4031402.0238090688</v>
      </c>
      <c r="H40" s="57">
        <f t="shared" si="2"/>
        <v>96808203.4319821</v>
      </c>
      <c r="I40" s="55">
        <f t="shared" si="8"/>
        <v>132.53130905893045</v>
      </c>
      <c r="J40" s="56">
        <f t="shared" si="3"/>
        <v>91986.139110668737</v>
      </c>
      <c r="K40" s="57">
        <f t="shared" si="4"/>
        <v>3983022.1120489608</v>
      </c>
    </row>
    <row r="41" spans="1:11" x14ac:dyDescent="0.15">
      <c r="A41" s="1">
        <f t="shared" si="5"/>
        <v>37</v>
      </c>
      <c r="B41" s="20">
        <v>1.4694E-3</v>
      </c>
      <c r="C41" s="5">
        <f t="shared" si="9"/>
        <v>95572.731805780131</v>
      </c>
      <c r="D41" s="51">
        <f t="shared" si="6"/>
        <v>140.43457211540954</v>
      </c>
      <c r="E41" s="54">
        <f t="shared" si="1"/>
        <v>0.98167461331353889</v>
      </c>
      <c r="F41" s="55">
        <f t="shared" si="7"/>
        <v>93821.324538757763</v>
      </c>
      <c r="G41" s="56">
        <f t="shared" si="2"/>
        <v>3937401.1910333284</v>
      </c>
      <c r="H41" s="57">
        <f t="shared" si="2"/>
        <v>92776801.408173025</v>
      </c>
      <c r="I41" s="55">
        <f t="shared" si="8"/>
        <v>137.79215819814789</v>
      </c>
      <c r="J41" s="56">
        <f t="shared" si="3"/>
        <v>91853.607801609804</v>
      </c>
      <c r="K41" s="57">
        <f t="shared" si="4"/>
        <v>3891035.9729382922</v>
      </c>
    </row>
    <row r="42" spans="1:11" x14ac:dyDescent="0.15">
      <c r="A42" s="1">
        <f t="shared" si="5"/>
        <v>38</v>
      </c>
      <c r="B42" s="20">
        <v>1.5394E-3</v>
      </c>
      <c r="C42" s="5">
        <f t="shared" si="9"/>
        <v>95432.297233664722</v>
      </c>
      <c r="D42" s="51">
        <f t="shared" si="6"/>
        <v>146.90847836149624</v>
      </c>
      <c r="E42" s="54">
        <f t="shared" si="1"/>
        <v>0.98118402130288762</v>
      </c>
      <c r="F42" s="55">
        <f t="shared" si="7"/>
        <v>93636.645161899592</v>
      </c>
      <c r="G42" s="56">
        <f t="shared" si="2"/>
        <v>3843579.8664945709</v>
      </c>
      <c r="H42" s="57">
        <f t="shared" si="2"/>
        <v>88839400.217139691</v>
      </c>
      <c r="I42" s="55">
        <f t="shared" si="8"/>
        <v>144.07221545449386</v>
      </c>
      <c r="J42" s="56">
        <f t="shared" si="3"/>
        <v>91715.815643411654</v>
      </c>
      <c r="K42" s="57">
        <f t="shared" si="4"/>
        <v>3799182.3651366825</v>
      </c>
    </row>
    <row r="43" spans="1:11" x14ac:dyDescent="0.15">
      <c r="A43" s="1">
        <f t="shared" si="5"/>
        <v>39</v>
      </c>
      <c r="B43" s="20">
        <v>1.6230000000000001E-3</v>
      </c>
      <c r="C43" s="5">
        <f t="shared" si="9"/>
        <v>95285.388755303225</v>
      </c>
      <c r="D43" s="51">
        <f t="shared" si="6"/>
        <v>154.64818594985991</v>
      </c>
      <c r="E43" s="54">
        <f t="shared" si="1"/>
        <v>0.9806936744656547</v>
      </c>
      <c r="F43" s="55">
        <f t="shared" si="7"/>
        <v>93445.778021326696</v>
      </c>
      <c r="G43" s="56">
        <f t="shared" si="2"/>
        <v>3749943.2213326711</v>
      </c>
      <c r="H43" s="57">
        <f t="shared" si="2"/>
        <v>84995820.350645125</v>
      </c>
      <c r="I43" s="55">
        <f t="shared" si="8"/>
        <v>151.58670437642778</v>
      </c>
      <c r="J43" s="56">
        <f t="shared" si="3"/>
        <v>91571.743427957161</v>
      </c>
      <c r="K43" s="57">
        <f t="shared" si="4"/>
        <v>3707466.5494932709</v>
      </c>
    </row>
    <row r="44" spans="1:11" s="76" customFormat="1" x14ac:dyDescent="0.15">
      <c r="A44" s="68">
        <f t="shared" si="5"/>
        <v>40</v>
      </c>
      <c r="B44" s="69">
        <v>1.7236E-3</v>
      </c>
      <c r="C44" s="70">
        <f t="shared" si="9"/>
        <v>95130.740569353366</v>
      </c>
      <c r="D44" s="71">
        <f t="shared" si="6"/>
        <v>163.96734444533649</v>
      </c>
      <c r="E44" s="72">
        <f t="shared" si="1"/>
        <v>0.98020357267931524</v>
      </c>
      <c r="F44" s="73">
        <f t="shared" si="7"/>
        <v>93247.491777709249</v>
      </c>
      <c r="G44" s="74">
        <f t="shared" si="2"/>
        <v>3656497.4433113444</v>
      </c>
      <c r="H44" s="75">
        <f t="shared" si="2"/>
        <v>81245877.129312456</v>
      </c>
      <c r="I44" s="73">
        <f t="shared" si="8"/>
        <v>160.64105629990874</v>
      </c>
      <c r="J44" s="74">
        <f t="shared" si="3"/>
        <v>91420.156723580731</v>
      </c>
      <c r="K44" s="75">
        <f t="shared" si="4"/>
        <v>3615894.806065314</v>
      </c>
    </row>
    <row r="45" spans="1:11" x14ac:dyDescent="0.15">
      <c r="A45" s="1">
        <f t="shared" si="5"/>
        <v>41</v>
      </c>
      <c r="B45" s="20">
        <v>1.843E-3</v>
      </c>
      <c r="C45" s="5">
        <f t="shared" si="9"/>
        <v>94966.773224908029</v>
      </c>
      <c r="D45" s="51">
        <f t="shared" si="6"/>
        <v>175.02376305351208</v>
      </c>
      <c r="E45" s="54">
        <f t="shared" si="1"/>
        <v>0.97971371582140443</v>
      </c>
      <c r="F45" s="55">
        <f t="shared" si="7"/>
        <v>93040.25027574331</v>
      </c>
      <c r="G45" s="56">
        <f t="shared" si="2"/>
        <v>3563249.9515336351</v>
      </c>
      <c r="H45" s="57">
        <f t="shared" si="2"/>
        <v>77589379.686001107</v>
      </c>
      <c r="I45" s="55">
        <f t="shared" si="8"/>
        <v>171.38748751444416</v>
      </c>
      <c r="J45" s="56">
        <f t="shared" si="3"/>
        <v>91259.515667280823</v>
      </c>
      <c r="K45" s="57">
        <f t="shared" si="4"/>
        <v>3524474.6493417332</v>
      </c>
    </row>
    <row r="46" spans="1:11" x14ac:dyDescent="0.15">
      <c r="A46" s="1">
        <f t="shared" si="5"/>
        <v>42</v>
      </c>
      <c r="B46" s="20">
        <v>1.9837000000000001E-3</v>
      </c>
      <c r="C46" s="5">
        <f t="shared" si="9"/>
        <v>94791.749461854517</v>
      </c>
      <c r="D46" s="51">
        <f t="shared" si="6"/>
        <v>188.038393407478</v>
      </c>
      <c r="E46" s="54">
        <f t="shared" si="1"/>
        <v>0.97922410376951974</v>
      </c>
      <c r="F46" s="55">
        <f t="shared" si="7"/>
        <v>92822.365911529341</v>
      </c>
      <c r="G46" s="56">
        <f t="shared" si="2"/>
        <v>3470209.701257892</v>
      </c>
      <c r="H46" s="57">
        <f t="shared" si="2"/>
        <v>74026129.734467477</v>
      </c>
      <c r="I46" s="55">
        <f t="shared" si="8"/>
        <v>184.03970740499551</v>
      </c>
      <c r="J46" s="56">
        <f t="shared" si="3"/>
        <v>91088.128179766383</v>
      </c>
      <c r="K46" s="57">
        <f t="shared" si="4"/>
        <v>3433215.1336744525</v>
      </c>
    </row>
    <row r="47" spans="1:11" x14ac:dyDescent="0.15">
      <c r="A47" s="1">
        <f t="shared" si="5"/>
        <v>43</v>
      </c>
      <c r="B47" s="20">
        <v>2.1484E-3</v>
      </c>
      <c r="C47" s="5">
        <f t="shared" si="9"/>
        <v>94603.711068447039</v>
      </c>
      <c r="D47" s="51">
        <f t="shared" si="6"/>
        <v>203.24661285945331</v>
      </c>
      <c r="E47" s="54">
        <f t="shared" si="1"/>
        <v>0.97873473640131914</v>
      </c>
      <c r="F47" s="55">
        <f t="shared" si="7"/>
        <v>92591.938215163071</v>
      </c>
      <c r="G47" s="56">
        <f t="shared" si="2"/>
        <v>3377387.3353463626</v>
      </c>
      <c r="H47" s="57">
        <f t="shared" si="2"/>
        <v>70555920.033209577</v>
      </c>
      <c r="I47" s="55">
        <f t="shared" si="8"/>
        <v>198.82510750770413</v>
      </c>
      <c r="J47" s="56">
        <f t="shared" si="3"/>
        <v>90904.088472361385</v>
      </c>
      <c r="K47" s="57">
        <f t="shared" si="4"/>
        <v>3342127.0054946863</v>
      </c>
    </row>
    <row r="48" spans="1:11" x14ac:dyDescent="0.15">
      <c r="A48" s="1">
        <f t="shared" si="5"/>
        <v>44</v>
      </c>
      <c r="B48" s="20">
        <v>2.3400000000000001E-3</v>
      </c>
      <c r="C48" s="5">
        <f t="shared" si="9"/>
        <v>94400.464455587586</v>
      </c>
      <c r="D48" s="51">
        <f t="shared" si="6"/>
        <v>220.89708682608034</v>
      </c>
      <c r="E48" s="54">
        <f t="shared" si="1"/>
        <v>0.97824561359452178</v>
      </c>
      <c r="F48" s="55">
        <f t="shared" si="7"/>
        <v>92346.840274964125</v>
      </c>
      <c r="G48" s="56">
        <f t="shared" si="2"/>
        <v>3284795.3971311995</v>
      </c>
      <c r="H48" s="57">
        <f t="shared" si="2"/>
        <v>67178532.697863221</v>
      </c>
      <c r="I48" s="55">
        <f t="shared" si="8"/>
        <v>215.98361443620323</v>
      </c>
      <c r="J48" s="56">
        <f t="shared" si="3"/>
        <v>90705.263364853687</v>
      </c>
      <c r="K48" s="57">
        <f t="shared" si="4"/>
        <v>3251222.9170223251</v>
      </c>
    </row>
    <row r="49" spans="1:11" x14ac:dyDescent="0.15">
      <c r="A49" s="1">
        <f t="shared" si="5"/>
        <v>45</v>
      </c>
      <c r="B49" s="20">
        <v>2.5612999999999999E-3</v>
      </c>
      <c r="C49" s="5">
        <f t="shared" si="9"/>
        <v>94179.567368761505</v>
      </c>
      <c r="D49" s="51">
        <f t="shared" si="6"/>
        <v>241.2221259016078</v>
      </c>
      <c r="E49" s="54">
        <f t="shared" si="1"/>
        <v>0.97775673522690842</v>
      </c>
      <c r="F49" s="55">
        <f t="shared" si="7"/>
        <v>92084.706315562929</v>
      </c>
      <c r="G49" s="56">
        <f t="shared" si="2"/>
        <v>3192448.5568562355</v>
      </c>
      <c r="H49" s="57">
        <f t="shared" si="2"/>
        <v>63893737.300732017</v>
      </c>
      <c r="I49" s="55">
        <f t="shared" si="8"/>
        <v>235.7386889415796</v>
      </c>
      <c r="J49" s="56">
        <f t="shared" si="3"/>
        <v>90489.279750417481</v>
      </c>
      <c r="K49" s="57">
        <f t="shared" si="4"/>
        <v>3160517.6536574713</v>
      </c>
    </row>
    <row r="50" spans="1:11" x14ac:dyDescent="0.15">
      <c r="A50" s="1">
        <f t="shared" si="5"/>
        <v>46</v>
      </c>
      <c r="B50" s="20">
        <v>2.8134000000000002E-3</v>
      </c>
      <c r="C50" s="5">
        <f t="shared" si="9"/>
        <v>93938.345242859898</v>
      </c>
      <c r="D50" s="51">
        <f t="shared" si="6"/>
        <v>264.28614050625765</v>
      </c>
      <c r="E50" s="54">
        <f t="shared" si="1"/>
        <v>0.97726810117632057</v>
      </c>
      <c r="F50" s="55">
        <f t="shared" si="7"/>
        <v>91802.948283135338</v>
      </c>
      <c r="G50" s="56">
        <f t="shared" si="2"/>
        <v>3100363.8505406724</v>
      </c>
      <c r="H50" s="57">
        <f t="shared" si="2"/>
        <v>60701288.743875779</v>
      </c>
      <c r="I50" s="55">
        <f t="shared" si="8"/>
        <v>258.14934002975372</v>
      </c>
      <c r="J50" s="56">
        <f t="shared" si="3"/>
        <v>90253.541061475902</v>
      </c>
      <c r="K50" s="57">
        <f t="shared" si="4"/>
        <v>3070028.3739070538</v>
      </c>
    </row>
    <row r="51" spans="1:11" x14ac:dyDescent="0.15">
      <c r="A51" s="1">
        <f t="shared" si="5"/>
        <v>47</v>
      </c>
      <c r="B51" s="20">
        <v>3.0975E-3</v>
      </c>
      <c r="C51" s="5">
        <f t="shared" si="9"/>
        <v>93674.05910235364</v>
      </c>
      <c r="D51" s="51">
        <f t="shared" si="6"/>
        <v>290.15539806953166</v>
      </c>
      <c r="E51" s="54">
        <f t="shared" si="1"/>
        <v>0.97677971132065988</v>
      </c>
      <c r="F51" s="55">
        <f t="shared" si="7"/>
        <v>91498.920408231425</v>
      </c>
      <c r="G51" s="56">
        <f t="shared" si="2"/>
        <v>3008560.902257537</v>
      </c>
      <c r="H51" s="57">
        <f t="shared" si="2"/>
        <v>57600924.893335104</v>
      </c>
      <c r="I51" s="55">
        <f t="shared" si="8"/>
        <v>283.27626783057303</v>
      </c>
      <c r="J51" s="56">
        <f t="shared" si="3"/>
        <v>89995.391721446154</v>
      </c>
      <c r="K51" s="57">
        <f t="shared" si="4"/>
        <v>2979774.832845578</v>
      </c>
    </row>
    <row r="52" spans="1:11" x14ac:dyDescent="0.15">
      <c r="A52" s="1">
        <f t="shared" si="5"/>
        <v>48</v>
      </c>
      <c r="B52" s="20">
        <v>3.4166000000000001E-3</v>
      </c>
      <c r="C52" s="5">
        <f t="shared" si="9"/>
        <v>93383.903704284108</v>
      </c>
      <c r="D52" s="51">
        <f t="shared" si="6"/>
        <v>319.05544539605035</v>
      </c>
      <c r="E52" s="54">
        <f t="shared" si="1"/>
        <v>0.97629156553789109</v>
      </c>
      <c r="F52" s="55">
        <f t="shared" si="7"/>
        <v>91169.917543495205</v>
      </c>
      <c r="G52" s="56">
        <f t="shared" si="2"/>
        <v>2917061.9818493058</v>
      </c>
      <c r="H52" s="57">
        <f t="shared" si="2"/>
        <v>54592363.991077565</v>
      </c>
      <c r="I52" s="55">
        <f t="shared" si="8"/>
        <v>311.33547254282769</v>
      </c>
      <c r="J52" s="56">
        <f t="shared" si="3"/>
        <v>89712.115453615581</v>
      </c>
      <c r="K52" s="57">
        <f t="shared" si="4"/>
        <v>2889779.4411241319</v>
      </c>
    </row>
    <row r="53" spans="1:11" x14ac:dyDescent="0.15">
      <c r="A53" s="1">
        <f t="shared" si="5"/>
        <v>49</v>
      </c>
      <c r="B53" s="20">
        <v>3.7728000000000002E-3</v>
      </c>
      <c r="C53" s="5">
        <f t="shared" si="9"/>
        <v>93064.848258888058</v>
      </c>
      <c r="D53" s="51">
        <f t="shared" si="6"/>
        <v>351.11505951113941</v>
      </c>
      <c r="E53" s="54">
        <f t="shared" si="1"/>
        <v>0.9758036637060381</v>
      </c>
      <c r="F53" s="55">
        <f t="shared" si="7"/>
        <v>90813.019893269462</v>
      </c>
      <c r="G53" s="56">
        <f t="shared" si="2"/>
        <v>2825892.0643058107</v>
      </c>
      <c r="H53" s="57">
        <f t="shared" si="2"/>
        <v>51675302.009228259</v>
      </c>
      <c r="I53" s="55">
        <f t="shared" si="8"/>
        <v>342.44813738464114</v>
      </c>
      <c r="J53" s="56">
        <f t="shared" si="3"/>
        <v>89400.779981072759</v>
      </c>
      <c r="K53" s="57">
        <f t="shared" si="4"/>
        <v>2800067.3256705161</v>
      </c>
    </row>
    <row r="54" spans="1:11" x14ac:dyDescent="0.15">
      <c r="A54" s="1">
        <f t="shared" si="5"/>
        <v>50</v>
      </c>
      <c r="B54" s="20">
        <v>4.1663000000000004E-3</v>
      </c>
      <c r="C54" s="5">
        <f t="shared" si="9"/>
        <v>92713.733199376918</v>
      </c>
      <c r="D54" s="51">
        <f t="shared" si="6"/>
        <v>386.27322662856022</v>
      </c>
      <c r="E54" s="54">
        <f t="shared" si="1"/>
        <v>0.97531600570318655</v>
      </c>
      <c r="F54" s="55">
        <f t="shared" si="7"/>
        <v>90425.187937847208</v>
      </c>
      <c r="G54" s="56">
        <f t="shared" si="2"/>
        <v>2735079.0444125412</v>
      </c>
      <c r="H54" s="57">
        <f t="shared" si="2"/>
        <v>48849409.944922447</v>
      </c>
      <c r="I54" s="55">
        <f t="shared" si="8"/>
        <v>376.55018541274268</v>
      </c>
      <c r="J54" s="56">
        <f t="shared" si="3"/>
        <v>89058.331843688124</v>
      </c>
      <c r="K54" s="57">
        <f t="shared" si="4"/>
        <v>2710666.5456894431</v>
      </c>
    </row>
    <row r="55" spans="1:11" x14ac:dyDescent="0.15">
      <c r="A55" s="1">
        <f t="shared" si="5"/>
        <v>51</v>
      </c>
      <c r="B55" s="20">
        <v>4.5976000000000003E-3</v>
      </c>
      <c r="C55" s="5">
        <f t="shared" si="9"/>
        <v>92327.459972748358</v>
      </c>
      <c r="D55" s="51">
        <f t="shared" si="6"/>
        <v>424.48472997070348</v>
      </c>
      <c r="E55" s="54">
        <f t="shared" si="1"/>
        <v>0.97482859140748268</v>
      </c>
      <c r="F55" s="55">
        <f t="shared" si="7"/>
        <v>90003.447753465021</v>
      </c>
      <c r="G55" s="56">
        <f t="shared" si="2"/>
        <v>2644653.8564746939</v>
      </c>
      <c r="H55" s="57">
        <f t="shared" si="2"/>
        <v>46114330.900509909</v>
      </c>
      <c r="I55" s="55">
        <f t="shared" si="8"/>
        <v>413.59305486389462</v>
      </c>
      <c r="J55" s="56">
        <f t="shared" si="3"/>
        <v>88681.781658275388</v>
      </c>
      <c r="K55" s="57">
        <f t="shared" si="4"/>
        <v>2621608.213845755</v>
      </c>
    </row>
    <row r="56" spans="1:11" x14ac:dyDescent="0.15">
      <c r="A56" s="1">
        <f t="shared" si="5"/>
        <v>52</v>
      </c>
      <c r="B56" s="20">
        <v>5.0701000000000001E-3</v>
      </c>
      <c r="C56" s="5">
        <f t="shared" si="9"/>
        <v>91902.975242777655</v>
      </c>
      <c r="D56" s="51">
        <f t="shared" si="6"/>
        <v>465.95727477839682</v>
      </c>
      <c r="E56" s="54">
        <f t="shared" si="1"/>
        <v>0.97434142069713425</v>
      </c>
      <c r="F56" s="55">
        <f t="shared" si="7"/>
        <v>89544.87546434153</v>
      </c>
      <c r="G56" s="56">
        <f t="shared" si="2"/>
        <v>2554650.4087212291</v>
      </c>
      <c r="H56" s="57">
        <f t="shared" si="2"/>
        <v>43469677.044035211</v>
      </c>
      <c r="I56" s="55">
        <f t="shared" si="8"/>
        <v>453.7745857988487</v>
      </c>
      <c r="J56" s="56">
        <f t="shared" si="3"/>
        <v>88268.188603411487</v>
      </c>
      <c r="K56" s="57">
        <f t="shared" si="4"/>
        <v>2532926.4321874795</v>
      </c>
    </row>
    <row r="57" spans="1:11" x14ac:dyDescent="0.15">
      <c r="A57" s="1">
        <f t="shared" si="5"/>
        <v>53</v>
      </c>
      <c r="B57" s="20">
        <v>5.5865999999999997E-3</v>
      </c>
      <c r="C57" s="5">
        <f t="shared" si="9"/>
        <v>91437.017967999258</v>
      </c>
      <c r="D57" s="51">
        <f t="shared" si="6"/>
        <v>510.82204458002525</v>
      </c>
      <c r="E57" s="54">
        <f t="shared" si="1"/>
        <v>0.97385449345040909</v>
      </c>
      <c r="F57" s="55">
        <f t="shared" si="7"/>
        <v>89046.35081584187</v>
      </c>
      <c r="G57" s="56">
        <f t="shared" si="2"/>
        <v>2465105.5332568875</v>
      </c>
      <c r="H57" s="57">
        <f t="shared" si="2"/>
        <v>40915026.63531398</v>
      </c>
      <c r="I57" s="55">
        <f t="shared" si="8"/>
        <v>497.21773460048263</v>
      </c>
      <c r="J57" s="56">
        <f t="shared" si="3"/>
        <v>87814.414017612638</v>
      </c>
      <c r="K57" s="57">
        <f t="shared" si="4"/>
        <v>2444658.243584068</v>
      </c>
    </row>
    <row r="58" spans="1:11" x14ac:dyDescent="0.15">
      <c r="A58" s="1">
        <f t="shared" si="5"/>
        <v>54</v>
      </c>
      <c r="B58" s="20">
        <v>6.1539000000000003E-3</v>
      </c>
      <c r="C58" s="5">
        <f t="shared" si="9"/>
        <v>90926.195923419233</v>
      </c>
      <c r="D58" s="51">
        <f t="shared" si="6"/>
        <v>559.55071709313779</v>
      </c>
      <c r="E58" s="54">
        <f t="shared" si="1"/>
        <v>0.9733678095456364</v>
      </c>
      <c r="F58" s="55">
        <f t="shared" si="7"/>
        <v>88504.632156295949</v>
      </c>
      <c r="G58" s="56">
        <f t="shared" si="2"/>
        <v>2376059.1824410455</v>
      </c>
      <c r="H58" s="57">
        <f t="shared" si="2"/>
        <v>38449921.102057092</v>
      </c>
      <c r="I58" s="55">
        <f t="shared" si="8"/>
        <v>544.3764675928411</v>
      </c>
      <c r="J58" s="56">
        <f t="shared" si="3"/>
        <v>87317.196283012163</v>
      </c>
      <c r="K58" s="57">
        <f t="shared" si="4"/>
        <v>2356843.8295664554</v>
      </c>
    </row>
    <row r="59" spans="1:11" x14ac:dyDescent="0.15">
      <c r="A59" s="1">
        <f t="shared" si="5"/>
        <v>55</v>
      </c>
      <c r="B59" s="20">
        <v>6.7768999999999998E-3</v>
      </c>
      <c r="C59" s="5">
        <f t="shared" si="9"/>
        <v>90366.645206326095</v>
      </c>
      <c r="D59" s="51">
        <f t="shared" si="6"/>
        <v>612.4057178987423</v>
      </c>
      <c r="E59" s="54">
        <f t="shared" si="1"/>
        <v>0.97288136886120558</v>
      </c>
      <c r="F59" s="55">
        <f t="shared" si="7"/>
        <v>87916.025487725434</v>
      </c>
      <c r="G59" s="56">
        <f t="shared" si="2"/>
        <v>2287554.5502847494</v>
      </c>
      <c r="H59" s="57">
        <f t="shared" si="2"/>
        <v>36073861.919616044</v>
      </c>
      <c r="I59" s="55">
        <f t="shared" si="8"/>
        <v>595.50036294628467</v>
      </c>
      <c r="J59" s="56">
        <f t="shared" si="3"/>
        <v>86772.819815419323</v>
      </c>
      <c r="K59" s="57">
        <f t="shared" si="4"/>
        <v>2269526.6332834433</v>
      </c>
    </row>
    <row r="60" spans="1:11" x14ac:dyDescent="0.15">
      <c r="A60" s="1">
        <f t="shared" si="5"/>
        <v>56</v>
      </c>
      <c r="B60" s="20">
        <v>7.4513000000000001E-3</v>
      </c>
      <c r="C60" s="5">
        <f t="shared" si="9"/>
        <v>89754.239488427353</v>
      </c>
      <c r="D60" s="51">
        <f t="shared" si="6"/>
        <v>668.78576470012194</v>
      </c>
      <c r="E60" s="54">
        <f t="shared" si="1"/>
        <v>0.97239517127556796</v>
      </c>
      <c r="F60" s="55">
        <f t="shared" si="7"/>
        <v>87276.58908005766</v>
      </c>
      <c r="G60" s="56">
        <f t="shared" si="2"/>
        <v>2199638.5247970237</v>
      </c>
      <c r="H60" s="57">
        <f t="shared" si="2"/>
        <v>33786307.369331293</v>
      </c>
      <c r="I60" s="55">
        <f t="shared" si="8"/>
        <v>649.99904868789281</v>
      </c>
      <c r="J60" s="56">
        <f t="shared" si="3"/>
        <v>86177.319452473035</v>
      </c>
      <c r="K60" s="57">
        <f t="shared" si="4"/>
        <v>2182753.8134680241</v>
      </c>
    </row>
    <row r="61" spans="1:11" x14ac:dyDescent="0.15">
      <c r="A61" s="1">
        <f t="shared" si="5"/>
        <v>57</v>
      </c>
      <c r="B61" s="20">
        <v>8.1764999999999997E-3</v>
      </c>
      <c r="C61" s="5">
        <f t="shared" si="9"/>
        <v>89085.453723727231</v>
      </c>
      <c r="D61" s="51">
        <f t="shared" si="6"/>
        <v>728.40721237205435</v>
      </c>
      <c r="E61" s="54">
        <f t="shared" si="1"/>
        <v>0.9719092166672344</v>
      </c>
      <c r="F61" s="55">
        <f t="shared" si="7"/>
        <v>86582.973545072891</v>
      </c>
      <c r="G61" s="56">
        <f t="shared" si="2"/>
        <v>2112361.9357169662</v>
      </c>
      <c r="H61" s="57">
        <f t="shared" si="2"/>
        <v>31586668.84453427</v>
      </c>
      <c r="I61" s="55">
        <f t="shared" si="8"/>
        <v>707.59188724766329</v>
      </c>
      <c r="J61" s="56">
        <f t="shared" si="3"/>
        <v>85527.320403785139</v>
      </c>
      <c r="K61" s="57">
        <f t="shared" si="4"/>
        <v>2096576.4940155509</v>
      </c>
    </row>
    <row r="62" spans="1:11" x14ac:dyDescent="0.15">
      <c r="A62" s="1">
        <f t="shared" si="5"/>
        <v>58</v>
      </c>
      <c r="B62" s="20">
        <v>8.9587E-3</v>
      </c>
      <c r="C62" s="5">
        <f t="shared" si="9"/>
        <v>88357.046511355176</v>
      </c>
      <c r="D62" s="51">
        <f t="shared" si="6"/>
        <v>791.56427258127951</v>
      </c>
      <c r="E62" s="54">
        <f t="shared" si="1"/>
        <v>0.97142350491477691</v>
      </c>
      <c r="F62" s="55">
        <f t="shared" si="7"/>
        <v>85832.111805978609</v>
      </c>
      <c r="G62" s="56">
        <f t="shared" si="2"/>
        <v>2025778.9621718931</v>
      </c>
      <c r="H62" s="57">
        <f t="shared" si="2"/>
        <v>29474306.908817302</v>
      </c>
      <c r="I62" s="55">
        <f t="shared" si="8"/>
        <v>768.55986010616937</v>
      </c>
      <c r="J62" s="56">
        <f t="shared" si="3"/>
        <v>84819.728516537478</v>
      </c>
      <c r="K62" s="57">
        <f t="shared" si="4"/>
        <v>2011049.1736117657</v>
      </c>
    </row>
    <row r="63" spans="1:11" x14ac:dyDescent="0.15">
      <c r="A63" s="1">
        <f t="shared" si="5"/>
        <v>59</v>
      </c>
      <c r="B63" s="20">
        <v>9.8148000000000003E-3</v>
      </c>
      <c r="C63" s="5">
        <f t="shared" si="9"/>
        <v>87565.482238773897</v>
      </c>
      <c r="D63" s="51">
        <f t="shared" si="6"/>
        <v>859.43769507712568</v>
      </c>
      <c r="E63" s="54">
        <f t="shared" si="1"/>
        <v>0.97093803589682859</v>
      </c>
      <c r="F63" s="55">
        <f t="shared" si="7"/>
        <v>85020.657337273762</v>
      </c>
      <c r="G63" s="56">
        <f t="shared" si="2"/>
        <v>1939946.8503659144</v>
      </c>
      <c r="H63" s="57">
        <f t="shared" si="2"/>
        <v>27448527.946645409</v>
      </c>
      <c r="I63" s="55">
        <f t="shared" si="8"/>
        <v>834.0437257709965</v>
      </c>
      <c r="J63" s="56">
        <f t="shared" si="3"/>
        <v>84051.168656431313</v>
      </c>
      <c r="K63" s="57">
        <f t="shared" si="4"/>
        <v>1926229.4450952283</v>
      </c>
    </row>
    <row r="64" spans="1:11" x14ac:dyDescent="0.15">
      <c r="A64" s="1">
        <f t="shared" si="5"/>
        <v>60</v>
      </c>
      <c r="B64" s="20">
        <v>1.07519E-2</v>
      </c>
      <c r="C64" s="5">
        <f t="shared" si="9"/>
        <v>86706.044543696771</v>
      </c>
      <c r="D64" s="51">
        <f t="shared" si="6"/>
        <v>932.25472032937978</v>
      </c>
      <c r="E64" s="54">
        <f t="shared" si="1"/>
        <v>0.97045280949208268</v>
      </c>
      <c r="F64" s="55">
        <f t="shared" si="7"/>
        <v>84144.124527376203</v>
      </c>
      <c r="G64" s="56">
        <f t="shared" si="2"/>
        <v>1854926.1930286407</v>
      </c>
      <c r="H64" s="57">
        <f t="shared" si="2"/>
        <v>25508581.096279494</v>
      </c>
      <c r="I64" s="55">
        <f t="shared" si="8"/>
        <v>904.25708396392042</v>
      </c>
      <c r="J64" s="56">
        <f t="shared" si="3"/>
        <v>83217.124930660313</v>
      </c>
      <c r="K64" s="57">
        <f t="shared" si="4"/>
        <v>1842178.2764387969</v>
      </c>
    </row>
    <row r="65" spans="1:11" x14ac:dyDescent="0.15">
      <c r="A65" s="1">
        <f t="shared" si="5"/>
        <v>61</v>
      </c>
      <c r="B65" s="20">
        <v>1.17456E-2</v>
      </c>
      <c r="C65" s="5">
        <f t="shared" si="9"/>
        <v>85773.789823367391</v>
      </c>
      <c r="D65" s="51">
        <f t="shared" si="6"/>
        <v>1007.4646257493441</v>
      </c>
      <c r="E65" s="54">
        <f t="shared" si="1"/>
        <v>0.96996782557929295</v>
      </c>
      <c r="F65" s="55">
        <f t="shared" si="7"/>
        <v>83197.816406666956</v>
      </c>
      <c r="G65" s="56">
        <f t="shared" si="2"/>
        <v>1770782.0685012646</v>
      </c>
      <c r="H65" s="57">
        <f t="shared" si="2"/>
        <v>23653654.903250854</v>
      </c>
      <c r="I65" s="55">
        <f t="shared" si="8"/>
        <v>976.71991242993272</v>
      </c>
      <c r="J65" s="56">
        <f t="shared" si="3"/>
        <v>82312.86784669639</v>
      </c>
      <c r="K65" s="57">
        <f t="shared" si="4"/>
        <v>1758961.1515081367</v>
      </c>
    </row>
    <row r="66" spans="1:11" x14ac:dyDescent="0.15">
      <c r="A66" s="1">
        <f t="shared" si="5"/>
        <v>62</v>
      </c>
      <c r="B66" s="20">
        <v>1.27881E-2</v>
      </c>
      <c r="C66" s="5">
        <f t="shared" si="9"/>
        <v>84766.325197618047</v>
      </c>
      <c r="D66" s="51">
        <f t="shared" si="6"/>
        <v>1084.0002432596521</v>
      </c>
      <c r="E66" s="54">
        <f t="shared" si="1"/>
        <v>0.96948308403727457</v>
      </c>
      <c r="F66" s="55">
        <f t="shared" si="7"/>
        <v>82179.518375093277</v>
      </c>
      <c r="G66" s="56">
        <f t="shared" si="2"/>
        <v>1687584.2520945976</v>
      </c>
      <c r="H66" s="57">
        <f t="shared" si="2"/>
        <v>21882872.834749591</v>
      </c>
      <c r="I66" s="55">
        <f t="shared" si="8"/>
        <v>1050.3947015817321</v>
      </c>
      <c r="J66" s="56">
        <f t="shared" si="3"/>
        <v>81336.147934266453</v>
      </c>
      <c r="K66" s="57">
        <f t="shared" si="4"/>
        <v>1676648.2836614402</v>
      </c>
    </row>
    <row r="67" spans="1:11" x14ac:dyDescent="0.15">
      <c r="A67" s="1">
        <f t="shared" si="5"/>
        <v>63</v>
      </c>
      <c r="B67" s="20">
        <v>1.39084E-2</v>
      </c>
      <c r="C67" s="5">
        <f t="shared" si="9"/>
        <v>83682.324954358395</v>
      </c>
      <c r="D67" s="51">
        <f t="shared" si="6"/>
        <v>1163.8872483952</v>
      </c>
      <c r="E67" s="54">
        <f t="shared" si="1"/>
        <v>0.96899858474490186</v>
      </c>
      <c r="F67" s="55">
        <f t="shared" si="7"/>
        <v>81088.054448936266</v>
      </c>
      <c r="G67" s="56">
        <f t="shared" si="2"/>
        <v>1605404.7337195042</v>
      </c>
      <c r="H67" s="57">
        <f t="shared" si="2"/>
        <v>20195288.582654994</v>
      </c>
      <c r="I67" s="55">
        <f t="shared" si="8"/>
        <v>1127.2414757597071</v>
      </c>
      <c r="J67" s="56">
        <f t="shared" si="3"/>
        <v>80285.753232684714</v>
      </c>
      <c r="K67" s="57">
        <f t="shared" si="4"/>
        <v>1595312.1357271739</v>
      </c>
    </row>
    <row r="68" spans="1:11" x14ac:dyDescent="0.15">
      <c r="A68" s="1">
        <f t="shared" si="5"/>
        <v>64</v>
      </c>
      <c r="B68" s="20">
        <v>1.5062000000000001E-2</v>
      </c>
      <c r="C68" s="5">
        <f t="shared" si="9"/>
        <v>82518.437705963195</v>
      </c>
      <c r="D68" s="51">
        <f t="shared" si="6"/>
        <v>1242.8927087272168</v>
      </c>
      <c r="E68" s="54">
        <f t="shared" ref="E68:E131" si="10">(1+$D$1)^(-$A68)</f>
        <v>0.96851432758111144</v>
      </c>
      <c r="F68" s="55">
        <f t="shared" si="7"/>
        <v>79920.28920783478</v>
      </c>
      <c r="G68" s="56">
        <f t="shared" ref="G68:H129" si="11">G69+F68</f>
        <v>1524316.6792705678</v>
      </c>
      <c r="H68" s="57">
        <f t="shared" si="11"/>
        <v>18589883.848935489</v>
      </c>
      <c r="I68" s="55">
        <f t="shared" si="8"/>
        <v>1203.1578171398367</v>
      </c>
      <c r="J68" s="56">
        <f t="shared" ref="J68:K129" si="12">J69+I68</f>
        <v>79158.511756925</v>
      </c>
      <c r="K68" s="57">
        <f t="shared" si="12"/>
        <v>1515026.3824944892</v>
      </c>
    </row>
    <row r="69" spans="1:11" s="76" customFormat="1" x14ac:dyDescent="0.15">
      <c r="A69" s="68">
        <f t="shared" ref="A69:A131" si="13">1+A68</f>
        <v>65</v>
      </c>
      <c r="B69" s="69">
        <v>1.62711E-2</v>
      </c>
      <c r="C69" s="70">
        <f t="shared" si="9"/>
        <v>81275.544997235978</v>
      </c>
      <c r="D69" s="71">
        <f t="shared" ref="D69:D130" si="14">C69-C70</f>
        <v>1322.442520204524</v>
      </c>
      <c r="E69" s="72">
        <f t="shared" si="10"/>
        <v>0.96803031242489901</v>
      </c>
      <c r="F69" s="73">
        <f t="shared" ref="F69:F131" si="15">C69*E69</f>
        <v>78677.191216178282</v>
      </c>
      <c r="G69" s="74">
        <f t="shared" si="11"/>
        <v>1444396.3900627331</v>
      </c>
      <c r="H69" s="75">
        <f t="shared" si="11"/>
        <v>17065567.169664919</v>
      </c>
      <c r="I69" s="73">
        <f t="shared" ref="I69:I130" si="16">D69*E70</f>
        <v>1279.5246836557285</v>
      </c>
      <c r="J69" s="74">
        <f t="shared" si="12"/>
        <v>77955.353939785156</v>
      </c>
      <c r="K69" s="75">
        <f t="shared" si="12"/>
        <v>1435867.8707375643</v>
      </c>
    </row>
    <row r="70" spans="1:11" x14ac:dyDescent="0.15">
      <c r="A70" s="1">
        <f t="shared" si="13"/>
        <v>66</v>
      </c>
      <c r="B70" s="20">
        <v>1.7551299999999999E-2</v>
      </c>
      <c r="C70" s="5">
        <f t="shared" ref="C70:C131" si="17">+C69*(1-$B69)</f>
        <v>79953.102477031454</v>
      </c>
      <c r="D70" s="51">
        <f t="shared" si="14"/>
        <v>1403.2808875051269</v>
      </c>
      <c r="E70" s="54">
        <f t="shared" si="10"/>
        <v>0.96754653915532141</v>
      </c>
      <c r="F70" s="55">
        <f t="shared" si="15"/>
        <v>77358.347596382533</v>
      </c>
      <c r="G70" s="56">
        <f t="shared" si="11"/>
        <v>1365719.1988465548</v>
      </c>
      <c r="H70" s="57">
        <f t="shared" si="11"/>
        <v>15621170.779602187</v>
      </c>
      <c r="I70" s="55">
        <f t="shared" si="16"/>
        <v>1357.0610356505683</v>
      </c>
      <c r="J70" s="56">
        <f t="shared" si="12"/>
        <v>76675.829256129422</v>
      </c>
      <c r="K70" s="57">
        <f t="shared" si="12"/>
        <v>1357912.5167977791</v>
      </c>
    </row>
    <row r="71" spans="1:11" x14ac:dyDescent="0.15">
      <c r="A71" s="1">
        <f t="shared" si="13"/>
        <v>67</v>
      </c>
      <c r="B71" s="20">
        <v>1.8904500000000001E-2</v>
      </c>
      <c r="C71" s="5">
        <f t="shared" si="17"/>
        <v>78549.821589526327</v>
      </c>
      <c r="D71" s="51">
        <f t="shared" si="14"/>
        <v>1484.9451022392022</v>
      </c>
      <c r="E71" s="54">
        <f t="shared" si="10"/>
        <v>0.96706300765149578</v>
      </c>
      <c r="F71" s="55">
        <f t="shared" si="15"/>
        <v>75962.626716855724</v>
      </c>
      <c r="G71" s="56">
        <f t="shared" si="11"/>
        <v>1288360.8512501724</v>
      </c>
      <c r="H71" s="57">
        <f t="shared" si="11"/>
        <v>14255451.580755632</v>
      </c>
      <c r="I71" s="55">
        <f t="shared" si="16"/>
        <v>1435.3178178598707</v>
      </c>
      <c r="J71" s="56">
        <f t="shared" si="12"/>
        <v>75318.768220478858</v>
      </c>
      <c r="K71" s="57">
        <f t="shared" si="12"/>
        <v>1281236.6875416497</v>
      </c>
    </row>
    <row r="72" spans="1:11" x14ac:dyDescent="0.15">
      <c r="A72" s="1">
        <f t="shared" si="13"/>
        <v>68</v>
      </c>
      <c r="B72" s="20">
        <v>2.0332800000000002E-2</v>
      </c>
      <c r="C72" s="5">
        <f t="shared" si="17"/>
        <v>77064.876487287125</v>
      </c>
      <c r="D72" s="51">
        <f t="shared" si="14"/>
        <v>1566.9447206407203</v>
      </c>
      <c r="E72" s="54">
        <f t="shared" si="10"/>
        <v>0.96657971779259944</v>
      </c>
      <c r="F72" s="55">
        <f t="shared" si="15"/>
        <v>74489.346566803521</v>
      </c>
      <c r="G72" s="56">
        <f t="shared" si="11"/>
        <v>1212398.2245333167</v>
      </c>
      <c r="H72" s="57">
        <f t="shared" si="11"/>
        <v>12967090.729505461</v>
      </c>
      <c r="I72" s="55">
        <f t="shared" si="16"/>
        <v>1513.8200758355933</v>
      </c>
      <c r="J72" s="56">
        <f t="shared" si="12"/>
        <v>73883.450402618982</v>
      </c>
      <c r="K72" s="57">
        <f t="shared" si="12"/>
        <v>1205917.9193211708</v>
      </c>
    </row>
    <row r="73" spans="1:11" x14ac:dyDescent="0.15">
      <c r="A73" s="1">
        <f t="shared" si="13"/>
        <v>69</v>
      </c>
      <c r="B73" s="20">
        <v>2.1838400000000001E-2</v>
      </c>
      <c r="C73" s="5">
        <f t="shared" si="17"/>
        <v>75497.931766646405</v>
      </c>
      <c r="D73" s="51">
        <f t="shared" si="14"/>
        <v>1648.7540330927295</v>
      </c>
      <c r="E73" s="54">
        <f t="shared" si="10"/>
        <v>0.96609666945787054</v>
      </c>
      <c r="F73" s="55">
        <f t="shared" si="15"/>
        <v>72938.300430714662</v>
      </c>
      <c r="G73" s="56">
        <f t="shared" si="11"/>
        <v>1137908.8779665132</v>
      </c>
      <c r="H73" s="57">
        <f t="shared" si="11"/>
        <v>11754692.504972145</v>
      </c>
      <c r="I73" s="55">
        <f t="shared" si="16"/>
        <v>1592.059750250992</v>
      </c>
      <c r="J73" s="56">
        <f t="shared" si="12"/>
        <v>72369.630326783386</v>
      </c>
      <c r="K73" s="57">
        <f t="shared" si="12"/>
        <v>1132034.4689185517</v>
      </c>
    </row>
    <row r="74" spans="1:11" x14ac:dyDescent="0.15">
      <c r="A74" s="1">
        <f t="shared" si="13"/>
        <v>70</v>
      </c>
      <c r="B74" s="20">
        <v>2.3423300000000001E-2</v>
      </c>
      <c r="C74" s="5">
        <f t="shared" si="17"/>
        <v>73849.177733553675</v>
      </c>
      <c r="D74" s="51">
        <f t="shared" si="14"/>
        <v>1729.791444806353</v>
      </c>
      <c r="E74" s="54">
        <f t="shared" si="10"/>
        <v>0.96561386252660719</v>
      </c>
      <c r="F74" s="55">
        <f t="shared" si="15"/>
        <v>71309.789755710677</v>
      </c>
      <c r="G74" s="56">
        <f t="shared" si="11"/>
        <v>1064970.5775357985</v>
      </c>
      <c r="H74" s="57">
        <f t="shared" si="11"/>
        <v>10616783.627005631</v>
      </c>
      <c r="I74" s="55">
        <f t="shared" si="16"/>
        <v>1669.4758604547155</v>
      </c>
      <c r="J74" s="56">
        <f t="shared" si="12"/>
        <v>70777.570576532395</v>
      </c>
      <c r="K74" s="57">
        <f t="shared" si="12"/>
        <v>1059664.8385917684</v>
      </c>
    </row>
    <row r="75" spans="1:11" x14ac:dyDescent="0.15">
      <c r="A75" s="1">
        <f t="shared" si="13"/>
        <v>71</v>
      </c>
      <c r="B75" s="20">
        <v>2.5106E-2</v>
      </c>
      <c r="C75" s="5">
        <f t="shared" si="17"/>
        <v>72119.386288747322</v>
      </c>
      <c r="D75" s="51">
        <f t="shared" si="14"/>
        <v>1810.6293121652852</v>
      </c>
      <c r="E75" s="54">
        <f t="shared" si="10"/>
        <v>0.96513129687816812</v>
      </c>
      <c r="F75" s="55">
        <f t="shared" si="15"/>
        <v>69604.676818916283</v>
      </c>
      <c r="G75" s="56">
        <f t="shared" si="11"/>
        <v>993660.78778008791</v>
      </c>
      <c r="H75" s="57">
        <f t="shared" si="11"/>
        <v>9551813.0494698323</v>
      </c>
      <c r="I75" s="55">
        <f t="shared" si="16"/>
        <v>1746.621705363026</v>
      </c>
      <c r="J75" s="56">
        <f t="shared" si="12"/>
        <v>69108.094716077685</v>
      </c>
      <c r="K75" s="57">
        <f t="shared" si="12"/>
        <v>988887.2680152359</v>
      </c>
    </row>
    <row r="76" spans="1:11" x14ac:dyDescent="0.15">
      <c r="A76" s="1">
        <f t="shared" si="13"/>
        <v>72</v>
      </c>
      <c r="B76" s="20">
        <v>2.6970000000000001E-2</v>
      </c>
      <c r="C76" s="5">
        <f t="shared" si="17"/>
        <v>70308.756976582037</v>
      </c>
      <c r="D76" s="51">
        <f t="shared" si="14"/>
        <v>1896.2271756584232</v>
      </c>
      <c r="E76" s="54">
        <f t="shared" si="10"/>
        <v>0.96464897239197223</v>
      </c>
      <c r="F76" s="55">
        <f t="shared" si="15"/>
        <v>67823.270167616764</v>
      </c>
      <c r="G76" s="56">
        <f t="shared" si="11"/>
        <v>924056.11096117168</v>
      </c>
      <c r="H76" s="57">
        <f t="shared" si="11"/>
        <v>8558152.2616897449</v>
      </c>
      <c r="I76" s="55">
        <f t="shared" si="16"/>
        <v>1828.2794566922839</v>
      </c>
      <c r="J76" s="56">
        <f t="shared" si="12"/>
        <v>67361.473010714661</v>
      </c>
      <c r="K76" s="57">
        <f t="shared" si="12"/>
        <v>919779.17329915822</v>
      </c>
    </row>
    <row r="77" spans="1:11" x14ac:dyDescent="0.15">
      <c r="A77" s="1">
        <f t="shared" si="13"/>
        <v>73</v>
      </c>
      <c r="B77" s="20">
        <v>2.91147E-2</v>
      </c>
      <c r="C77" s="5">
        <f t="shared" si="17"/>
        <v>68412.529800923614</v>
      </c>
      <c r="D77" s="51">
        <f t="shared" si="14"/>
        <v>1991.8102813949517</v>
      </c>
      <c r="E77" s="54">
        <f t="shared" si="10"/>
        <v>0.96416688894749858</v>
      </c>
      <c r="F77" s="55">
        <f t="shared" si="15"/>
        <v>65961.096023184553</v>
      </c>
      <c r="G77" s="56">
        <f t="shared" si="11"/>
        <v>856232.8407935549</v>
      </c>
      <c r="H77" s="57">
        <f t="shared" si="11"/>
        <v>7634096.150728574</v>
      </c>
      <c r="I77" s="55">
        <f t="shared" si="16"/>
        <v>1919.4777834944646</v>
      </c>
      <c r="J77" s="56">
        <f t="shared" si="12"/>
        <v>65533.193554022379</v>
      </c>
      <c r="K77" s="57">
        <f t="shared" si="12"/>
        <v>852417.70028844359</v>
      </c>
    </row>
    <row r="78" spans="1:11" x14ac:dyDescent="0.15">
      <c r="A78" s="1">
        <f t="shared" si="13"/>
        <v>74</v>
      </c>
      <c r="B78" s="20">
        <v>3.1639100000000003E-2</v>
      </c>
      <c r="C78" s="5">
        <f t="shared" si="17"/>
        <v>66420.719519528662</v>
      </c>
      <c r="D78" s="51">
        <f t="shared" si="14"/>
        <v>2101.4917869503188</v>
      </c>
      <c r="E78" s="54">
        <f t="shared" si="10"/>
        <v>0.96368504642428621</v>
      </c>
      <c r="F78" s="55">
        <f t="shared" si="15"/>
        <v>64008.654173711475</v>
      </c>
      <c r="G78" s="56">
        <f t="shared" si="11"/>
        <v>790271.74477037031</v>
      </c>
      <c r="H78" s="57">
        <f t="shared" si="11"/>
        <v>6777863.3099350194</v>
      </c>
      <c r="I78" s="55">
        <f t="shared" si="16"/>
        <v>2024.1641282033729</v>
      </c>
      <c r="J78" s="56">
        <f t="shared" si="12"/>
        <v>63613.715770527917</v>
      </c>
      <c r="K78" s="57">
        <f t="shared" si="12"/>
        <v>786884.50673442124</v>
      </c>
    </row>
    <row r="79" spans="1:11" x14ac:dyDescent="0.15">
      <c r="A79" s="1">
        <f t="shared" si="13"/>
        <v>75</v>
      </c>
      <c r="B79" s="20">
        <v>3.4641499999999999E-2</v>
      </c>
      <c r="C79" s="5">
        <f t="shared" si="17"/>
        <v>64319.227732578343</v>
      </c>
      <c r="D79" s="51">
        <f t="shared" si="14"/>
        <v>2228.11452749811</v>
      </c>
      <c r="E79" s="54">
        <f t="shared" si="10"/>
        <v>0.96320344470193542</v>
      </c>
      <c r="F79" s="55">
        <f t="shared" si="15"/>
        <v>61952.501712587713</v>
      </c>
      <c r="G79" s="56">
        <f t="shared" si="11"/>
        <v>726263.09059665888</v>
      </c>
      <c r="H79" s="57">
        <f t="shared" si="11"/>
        <v>5987591.5651646489</v>
      </c>
      <c r="I79" s="55">
        <f t="shared" si="16"/>
        <v>2145.0550605463313</v>
      </c>
      <c r="J79" s="56">
        <f t="shared" si="12"/>
        <v>61589.551642324543</v>
      </c>
      <c r="K79" s="57">
        <f t="shared" si="12"/>
        <v>723270.79096389329</v>
      </c>
    </row>
    <row r="80" spans="1:11" x14ac:dyDescent="0.15">
      <c r="A80" s="1">
        <f t="shared" si="13"/>
        <v>76</v>
      </c>
      <c r="B80" s="20">
        <v>3.8219599999999999E-2</v>
      </c>
      <c r="C80" s="5">
        <f t="shared" si="17"/>
        <v>62091.113205080233</v>
      </c>
      <c r="D80" s="51">
        <f t="shared" si="14"/>
        <v>2373.0975102528828</v>
      </c>
      <c r="E80" s="54">
        <f t="shared" si="10"/>
        <v>0.96272208366010525</v>
      </c>
      <c r="F80" s="55">
        <f t="shared" si="15"/>
        <v>59776.485881570319</v>
      </c>
      <c r="G80" s="56">
        <f t="shared" si="11"/>
        <v>664310.58888407121</v>
      </c>
      <c r="H80" s="57">
        <f t="shared" si="11"/>
        <v>5261328.4745679898</v>
      </c>
      <c r="I80" s="55">
        <f t="shared" si="16"/>
        <v>2283.4916339822726</v>
      </c>
      <c r="J80" s="56">
        <f t="shared" si="12"/>
        <v>59444.496581778214</v>
      </c>
      <c r="K80" s="57">
        <f t="shared" si="12"/>
        <v>661681.23932156875</v>
      </c>
    </row>
    <row r="81" spans="1:11" x14ac:dyDescent="0.15">
      <c r="A81" s="1">
        <f t="shared" si="13"/>
        <v>77</v>
      </c>
      <c r="B81" s="20">
        <v>4.2470899999999999E-2</v>
      </c>
      <c r="C81" s="5">
        <f t="shared" si="17"/>
        <v>59718.015694827351</v>
      </c>
      <c r="D81" s="51">
        <f t="shared" si="14"/>
        <v>2536.2778727734403</v>
      </c>
      <c r="E81" s="54">
        <f t="shared" si="10"/>
        <v>0.96224096317851615</v>
      </c>
      <c r="F81" s="55">
        <f t="shared" si="15"/>
        <v>57463.120941300411</v>
      </c>
      <c r="G81" s="56">
        <f t="shared" si="11"/>
        <v>604534.10300250095</v>
      </c>
      <c r="H81" s="57">
        <f t="shared" si="11"/>
        <v>4597017.8856839184</v>
      </c>
      <c r="I81" s="55">
        <f t="shared" si="16"/>
        <v>2439.2908177769855</v>
      </c>
      <c r="J81" s="56">
        <f t="shared" si="12"/>
        <v>57161.00494779594</v>
      </c>
      <c r="K81" s="57">
        <f t="shared" si="12"/>
        <v>602236.74273979058</v>
      </c>
    </row>
    <row r="82" spans="1:11" x14ac:dyDescent="0.15">
      <c r="A82" s="1">
        <f t="shared" si="13"/>
        <v>78</v>
      </c>
      <c r="B82" s="20">
        <v>4.7492199999999998E-2</v>
      </c>
      <c r="C82" s="5">
        <f t="shared" si="17"/>
        <v>57181.73782205391</v>
      </c>
      <c r="D82" s="51">
        <f t="shared" si="14"/>
        <v>2715.6865289925481</v>
      </c>
      <c r="E82" s="54">
        <f t="shared" si="10"/>
        <v>0.96176008313694794</v>
      </c>
      <c r="F82" s="55">
        <f t="shared" si="15"/>
        <v>54995.11292165373</v>
      </c>
      <c r="G82" s="56">
        <f t="shared" si="11"/>
        <v>547070.98206120054</v>
      </c>
      <c r="H82" s="57">
        <f t="shared" si="11"/>
        <v>3992483.7826814177</v>
      </c>
      <c r="I82" s="55">
        <f t="shared" si="16"/>
        <v>2610.5336350802218</v>
      </c>
      <c r="J82" s="56">
        <f t="shared" si="12"/>
        <v>54721.714130018954</v>
      </c>
      <c r="K82" s="57">
        <f t="shared" si="12"/>
        <v>545075.73779199459</v>
      </c>
    </row>
    <row r="83" spans="1:11" x14ac:dyDescent="0.15">
      <c r="A83" s="1">
        <f t="shared" si="13"/>
        <v>79</v>
      </c>
      <c r="B83" s="20">
        <v>5.3379900000000001E-2</v>
      </c>
      <c r="C83" s="5">
        <f t="shared" si="17"/>
        <v>54466.051293061362</v>
      </c>
      <c r="D83" s="51">
        <f t="shared" si="14"/>
        <v>2907.3923714184857</v>
      </c>
      <c r="E83" s="54">
        <f t="shared" si="10"/>
        <v>0.96127944341524008</v>
      </c>
      <c r="F83" s="55">
        <f t="shared" si="15"/>
        <v>52357.095472019944</v>
      </c>
      <c r="G83" s="56">
        <f t="shared" si="11"/>
        <v>492075.86913954682</v>
      </c>
      <c r="H83" s="57">
        <f t="shared" si="11"/>
        <v>3445412.8006202169</v>
      </c>
      <c r="I83" s="55">
        <f t="shared" si="16"/>
        <v>2793.4198106815361</v>
      </c>
      <c r="J83" s="56">
        <f t="shared" si="12"/>
        <v>52111.18049493873</v>
      </c>
      <c r="K83" s="57">
        <f t="shared" si="12"/>
        <v>490354.02366197563</v>
      </c>
    </row>
    <row r="84" spans="1:11" x14ac:dyDescent="0.15">
      <c r="A84" s="1">
        <f t="shared" si="13"/>
        <v>80</v>
      </c>
      <c r="B84" s="20">
        <v>6.0230199999999998E-2</v>
      </c>
      <c r="C84" s="5">
        <f t="shared" si="17"/>
        <v>51558.658921642877</v>
      </c>
      <c r="D84" s="51">
        <f t="shared" si="14"/>
        <v>3105.3883385823356</v>
      </c>
      <c r="E84" s="54">
        <f t="shared" si="10"/>
        <v>0.9607990438932934</v>
      </c>
      <c r="F84" s="55">
        <f t="shared" si="15"/>
        <v>49537.510196334901</v>
      </c>
      <c r="G84" s="56">
        <f t="shared" si="11"/>
        <v>439718.7736675269</v>
      </c>
      <c r="H84" s="57">
        <f t="shared" si="11"/>
        <v>2953336.9314806699</v>
      </c>
      <c r="I84" s="55">
        <f t="shared" si="16"/>
        <v>2982.1630650947436</v>
      </c>
      <c r="J84" s="56">
        <f t="shared" si="12"/>
        <v>49317.760684257191</v>
      </c>
      <c r="K84" s="57">
        <f t="shared" si="12"/>
        <v>438242.84316703689</v>
      </c>
    </row>
    <row r="85" spans="1:11" x14ac:dyDescent="0.15">
      <c r="A85" s="1">
        <f t="shared" si="13"/>
        <v>81</v>
      </c>
      <c r="B85" s="20">
        <v>6.7781599999999997E-2</v>
      </c>
      <c r="C85" s="5">
        <f t="shared" si="17"/>
        <v>48453.270583060541</v>
      </c>
      <c r="D85" s="51">
        <f t="shared" si="14"/>
        <v>3284.2402053527767</v>
      </c>
      <c r="E85" s="54">
        <f t="shared" si="10"/>
        <v>0.96031888445106794</v>
      </c>
      <c r="F85" s="55">
        <f t="shared" si="15"/>
        <v>46530.590754330442</v>
      </c>
      <c r="G85" s="56">
        <f t="shared" si="11"/>
        <v>390181.26347119198</v>
      </c>
      <c r="H85" s="57">
        <f t="shared" si="11"/>
        <v>2513618.157813143</v>
      </c>
      <c r="I85" s="55">
        <f t="shared" si="16"/>
        <v>3152.3417194140175</v>
      </c>
      <c r="J85" s="56">
        <f t="shared" si="12"/>
        <v>46335.59761916245</v>
      </c>
      <c r="K85" s="57">
        <f t="shared" si="12"/>
        <v>388925.08248277969</v>
      </c>
    </row>
    <row r="86" spans="1:11" x14ac:dyDescent="0.15">
      <c r="A86" s="1">
        <f t="shared" si="13"/>
        <v>82</v>
      </c>
      <c r="B86" s="20">
        <v>7.5670100000000004E-2</v>
      </c>
      <c r="C86" s="5">
        <f t="shared" si="17"/>
        <v>45169.030377707764</v>
      </c>
      <c r="D86" s="51">
        <f t="shared" si="14"/>
        <v>3417.9450455841798</v>
      </c>
      <c r="E86" s="54">
        <f t="shared" si="10"/>
        <v>0.95983896496858356</v>
      </c>
      <c r="F86" s="55">
        <f t="shared" si="15"/>
        <v>43354.995366373529</v>
      </c>
      <c r="G86" s="56">
        <f t="shared" si="11"/>
        <v>343650.67271686153</v>
      </c>
      <c r="H86" s="57">
        <f t="shared" si="11"/>
        <v>2123436.8943419512</v>
      </c>
      <c r="I86" s="55">
        <f t="shared" si="16"/>
        <v>3279.0373162149103</v>
      </c>
      <c r="J86" s="56">
        <f t="shared" si="12"/>
        <v>43183.25589974843</v>
      </c>
      <c r="K86" s="57">
        <f t="shared" si="12"/>
        <v>342589.48486361722</v>
      </c>
    </row>
    <row r="87" spans="1:11" x14ac:dyDescent="0.15">
      <c r="A87" s="1">
        <f t="shared" si="13"/>
        <v>83</v>
      </c>
      <c r="B87" s="20">
        <v>8.39086E-2</v>
      </c>
      <c r="C87" s="5">
        <f t="shared" si="17"/>
        <v>41751.085332123585</v>
      </c>
      <c r="D87" s="51">
        <f t="shared" si="14"/>
        <v>3503.2751186990281</v>
      </c>
      <c r="E87" s="54">
        <f t="shared" si="10"/>
        <v>0.95935928532592074</v>
      </c>
      <c r="F87" s="55">
        <f t="shared" si="15"/>
        <v>40054.291385807614</v>
      </c>
      <c r="G87" s="56">
        <f t="shared" si="11"/>
        <v>300295.67735048803</v>
      </c>
      <c r="H87" s="57">
        <f t="shared" si="11"/>
        <v>1779786.2216250896</v>
      </c>
      <c r="I87" s="55">
        <f t="shared" si="16"/>
        <v>3359.2199042230686</v>
      </c>
      <c r="J87" s="56">
        <f t="shared" si="12"/>
        <v>39904.218583533519</v>
      </c>
      <c r="K87" s="57">
        <f t="shared" si="12"/>
        <v>299406.22896386881</v>
      </c>
    </row>
    <row r="88" spans="1:11" x14ac:dyDescent="0.15">
      <c r="A88" s="1">
        <f t="shared" si="13"/>
        <v>84</v>
      </c>
      <c r="B88" s="20">
        <v>9.2497200000000002E-2</v>
      </c>
      <c r="C88" s="5">
        <f t="shared" si="17"/>
        <v>38247.810213424556</v>
      </c>
      <c r="D88" s="51">
        <f t="shared" si="14"/>
        <v>3537.8153508731702</v>
      </c>
      <c r="E88" s="54">
        <f t="shared" si="10"/>
        <v>0.95887984540321924</v>
      </c>
      <c r="F88" s="55">
        <f t="shared" si="15"/>
        <v>36675.054344460208</v>
      </c>
      <c r="G88" s="56">
        <f t="shared" si="11"/>
        <v>260241.3859646804</v>
      </c>
      <c r="H88" s="57">
        <f t="shared" si="11"/>
        <v>1479490.5442746016</v>
      </c>
      <c r="I88" s="55">
        <f t="shared" si="16"/>
        <v>3390.6445144531749</v>
      </c>
      <c r="J88" s="56">
        <f t="shared" si="12"/>
        <v>36544.998679310447</v>
      </c>
      <c r="K88" s="57">
        <f t="shared" si="12"/>
        <v>259502.01038033527</v>
      </c>
    </row>
    <row r="89" spans="1:11" x14ac:dyDescent="0.15">
      <c r="A89" s="1">
        <f t="shared" si="13"/>
        <v>85</v>
      </c>
      <c r="B89" s="20">
        <v>0.1014361</v>
      </c>
      <c r="C89" s="5">
        <f t="shared" si="17"/>
        <v>34709.994862551386</v>
      </c>
      <c r="D89" s="51">
        <f t="shared" si="14"/>
        <v>3520.8465098772504</v>
      </c>
      <c r="E89" s="54">
        <f t="shared" si="10"/>
        <v>0.9584006450806789</v>
      </c>
      <c r="F89" s="55">
        <f t="shared" si="15"/>
        <v>33266.081467016302</v>
      </c>
      <c r="G89" s="56">
        <f t="shared" si="11"/>
        <v>223566.33162022018</v>
      </c>
      <c r="H89" s="57">
        <f t="shared" si="11"/>
        <v>1219249.1583099212</v>
      </c>
      <c r="I89" s="55">
        <f t="shared" si="16"/>
        <v>3372.6952186870708</v>
      </c>
      <c r="J89" s="56">
        <f t="shared" si="12"/>
        <v>33154.354164857272</v>
      </c>
      <c r="K89" s="57">
        <f t="shared" si="12"/>
        <v>222957.01170102484</v>
      </c>
    </row>
    <row r="90" spans="1:11" x14ac:dyDescent="0.15">
      <c r="A90" s="1">
        <f t="shared" si="13"/>
        <v>86</v>
      </c>
      <c r="B90" s="20">
        <v>0.1107253</v>
      </c>
      <c r="C90" s="5">
        <f t="shared" si="17"/>
        <v>31189.148352674136</v>
      </c>
      <c r="D90" s="51">
        <f t="shared" si="14"/>
        <v>3453.4278080943513</v>
      </c>
      <c r="E90" s="54">
        <f t="shared" si="10"/>
        <v>0.95792168423855983</v>
      </c>
      <c r="F90" s="55">
        <f t="shared" si="15"/>
        <v>29876.761519959913</v>
      </c>
      <c r="G90" s="56">
        <f t="shared" si="11"/>
        <v>190300.25015320387</v>
      </c>
      <c r="H90" s="57">
        <f t="shared" si="11"/>
        <v>995682.82668970106</v>
      </c>
      <c r="I90" s="55">
        <f t="shared" si="16"/>
        <v>3306.4601522498933</v>
      </c>
      <c r="J90" s="56">
        <f t="shared" si="12"/>
        <v>29781.658946170202</v>
      </c>
      <c r="K90" s="57">
        <f t="shared" si="12"/>
        <v>189802.65753616756</v>
      </c>
    </row>
    <row r="91" spans="1:11" x14ac:dyDescent="0.15">
      <c r="A91" s="1">
        <f t="shared" si="13"/>
        <v>87</v>
      </c>
      <c r="B91" s="20">
        <v>0.1203649</v>
      </c>
      <c r="C91" s="5">
        <f t="shared" si="17"/>
        <v>27735.720544579784</v>
      </c>
      <c r="D91" s="51">
        <f t="shared" si="14"/>
        <v>3338.4072297762905</v>
      </c>
      <c r="E91" s="54">
        <f t="shared" si="10"/>
        <v>0.95744296275718099</v>
      </c>
      <c r="F91" s="55">
        <f t="shared" si="15"/>
        <v>26555.370452407682</v>
      </c>
      <c r="G91" s="56">
        <f t="shared" si="11"/>
        <v>160423.48863324395</v>
      </c>
      <c r="H91" s="57">
        <f t="shared" si="11"/>
        <v>805382.57653649722</v>
      </c>
      <c r="I91" s="55">
        <f t="shared" si="16"/>
        <v>3194.7371403968064</v>
      </c>
      <c r="J91" s="56">
        <f t="shared" si="12"/>
        <v>26475.19879392031</v>
      </c>
      <c r="K91" s="57">
        <f t="shared" si="12"/>
        <v>160020.99858999735</v>
      </c>
    </row>
    <row r="92" spans="1:11" x14ac:dyDescent="0.15">
      <c r="A92" s="1">
        <f t="shared" si="13"/>
        <v>88</v>
      </c>
      <c r="B92" s="20">
        <v>0.13035479999999999</v>
      </c>
      <c r="C92" s="5">
        <f t="shared" si="17"/>
        <v>24397.313314803494</v>
      </c>
      <c r="D92" s="51">
        <f t="shared" si="14"/>
        <v>3180.3068976885479</v>
      </c>
      <c r="E92" s="54">
        <f t="shared" si="10"/>
        <v>0.95696448051692251</v>
      </c>
      <c r="F92" s="55">
        <f t="shared" si="15"/>
        <v>23347.362262309522</v>
      </c>
      <c r="G92" s="56">
        <f t="shared" si="11"/>
        <v>133868.11818083626</v>
      </c>
      <c r="H92" s="57">
        <f t="shared" si="11"/>
        <v>644959.08790325327</v>
      </c>
      <c r="I92" s="55">
        <f t="shared" si="16"/>
        <v>3041.9197783417362</v>
      </c>
      <c r="J92" s="56">
        <f t="shared" si="12"/>
        <v>23280.461653523504</v>
      </c>
      <c r="K92" s="57">
        <f t="shared" si="12"/>
        <v>133545.79979607704</v>
      </c>
    </row>
    <row r="93" spans="1:11" x14ac:dyDescent="0.15">
      <c r="A93" s="1">
        <f t="shared" si="13"/>
        <v>89</v>
      </c>
      <c r="B93" s="20">
        <v>0.14069519999999999</v>
      </c>
      <c r="C93" s="5">
        <f t="shared" si="17"/>
        <v>21217.006417114946</v>
      </c>
      <c r="D93" s="51">
        <f t="shared" si="14"/>
        <v>2985.1309612572695</v>
      </c>
      <c r="E93" s="54">
        <f t="shared" si="10"/>
        <v>0.95648623739822358</v>
      </c>
      <c r="F93" s="55">
        <f t="shared" si="15"/>
        <v>20293.774636760241</v>
      </c>
      <c r="G93" s="56">
        <f t="shared" si="11"/>
        <v>110520.75591852675</v>
      </c>
      <c r="H93" s="57">
        <f t="shared" si="11"/>
        <v>511090.96972241695</v>
      </c>
      <c r="I93" s="55">
        <f t="shared" si="16"/>
        <v>2853.8097763857149</v>
      </c>
      <c r="J93" s="56">
        <f t="shared" si="12"/>
        <v>20238.541875181767</v>
      </c>
      <c r="K93" s="57">
        <f t="shared" si="12"/>
        <v>110265.33814255353</v>
      </c>
    </row>
    <row r="94" spans="1:11" x14ac:dyDescent="0.15">
      <c r="A94" s="1">
        <f t="shared" si="13"/>
        <v>90</v>
      </c>
      <c r="B94" s="20">
        <v>0.15138579999999999</v>
      </c>
      <c r="C94" s="5">
        <f t="shared" si="17"/>
        <v>18231.875455857677</v>
      </c>
      <c r="D94" s="51">
        <f t="shared" si="14"/>
        <v>2760.0470513853797</v>
      </c>
      <c r="E94" s="54">
        <f t="shared" si="10"/>
        <v>0.95600823328158269</v>
      </c>
      <c r="F94" s="55">
        <f t="shared" si="15"/>
        <v>17429.823043964348</v>
      </c>
      <c r="G94" s="56">
        <f t="shared" si="11"/>
        <v>90226.981281766508</v>
      </c>
      <c r="H94" s="57">
        <f t="shared" si="11"/>
        <v>400570.21380389022</v>
      </c>
      <c r="I94" s="55">
        <f t="shared" si="16"/>
        <v>2637.3090508435566</v>
      </c>
      <c r="J94" s="56">
        <f t="shared" si="12"/>
        <v>17384.732098796052</v>
      </c>
      <c r="K94" s="57">
        <f t="shared" si="12"/>
        <v>90026.79626737177</v>
      </c>
    </row>
    <row r="95" spans="1:11" x14ac:dyDescent="0.15">
      <c r="A95" s="1">
        <f t="shared" si="13"/>
        <v>91</v>
      </c>
      <c r="B95" s="20">
        <v>0.16242680000000001</v>
      </c>
      <c r="C95" s="5">
        <f t="shared" si="17"/>
        <v>15471.828404472297</v>
      </c>
      <c r="D95" s="51">
        <f t="shared" si="14"/>
        <v>2513.0395778875409</v>
      </c>
      <c r="E95" s="54">
        <f t="shared" si="10"/>
        <v>0.95553046804755881</v>
      </c>
      <c r="F95" s="55">
        <f t="shared" si="15"/>
        <v>14783.803436876929</v>
      </c>
      <c r="G95" s="56">
        <f t="shared" si="11"/>
        <v>72797.158237802156</v>
      </c>
      <c r="H95" s="57">
        <f t="shared" si="11"/>
        <v>310343.23252212373</v>
      </c>
      <c r="I95" s="55">
        <f t="shared" si="16"/>
        <v>2400.0858411603417</v>
      </c>
      <c r="J95" s="56">
        <f t="shared" si="12"/>
        <v>14747.423047952496</v>
      </c>
      <c r="K95" s="57">
        <f t="shared" si="12"/>
        <v>72642.064168575715</v>
      </c>
    </row>
    <row r="96" spans="1:11" x14ac:dyDescent="0.15">
      <c r="A96" s="1">
        <f t="shared" si="13"/>
        <v>92</v>
      </c>
      <c r="B96" s="20">
        <v>0.1738179</v>
      </c>
      <c r="C96" s="5">
        <f t="shared" si="17"/>
        <v>12958.788826584756</v>
      </c>
      <c r="D96" s="51">
        <f t="shared" si="14"/>
        <v>2252.4694603804255</v>
      </c>
      <c r="E96" s="54">
        <f t="shared" si="10"/>
        <v>0.95505294157677056</v>
      </c>
      <c r="F96" s="55">
        <f t="shared" si="15"/>
        <v>12376.329388101958</v>
      </c>
      <c r="G96" s="56">
        <f t="shared" si="11"/>
        <v>58013.354800925219</v>
      </c>
      <c r="H96" s="57">
        <f t="shared" si="11"/>
        <v>237546.07428432154</v>
      </c>
      <c r="I96" s="55">
        <f t="shared" si="16"/>
        <v>2150.1525076943194</v>
      </c>
      <c r="J96" s="56">
        <f t="shared" si="12"/>
        <v>12347.337206792154</v>
      </c>
      <c r="K96" s="57">
        <f t="shared" si="12"/>
        <v>57894.641120623222</v>
      </c>
    </row>
    <row r="97" spans="1:11" x14ac:dyDescent="0.15">
      <c r="A97" s="1">
        <f t="shared" si="13"/>
        <v>93</v>
      </c>
      <c r="B97" s="20">
        <v>0.18555930000000001</v>
      </c>
      <c r="C97" s="5">
        <f t="shared" si="17"/>
        <v>10706.31936620433</v>
      </c>
      <c r="D97" s="51">
        <f t="shared" si="14"/>
        <v>1986.6571271693192</v>
      </c>
      <c r="E97" s="54">
        <f t="shared" si="10"/>
        <v>0.95457565374989573</v>
      </c>
      <c r="F97" s="55">
        <f t="shared" si="15"/>
        <v>10219.991808249668</v>
      </c>
      <c r="G97" s="56">
        <f t="shared" si="11"/>
        <v>45637.025412823263</v>
      </c>
      <c r="H97" s="57">
        <f t="shared" si="11"/>
        <v>179532.71948339633</v>
      </c>
      <c r="I97" s="55">
        <f t="shared" si="16"/>
        <v>1895.466792548269</v>
      </c>
      <c r="J97" s="56">
        <f t="shared" si="12"/>
        <v>10197.184699097834</v>
      </c>
      <c r="K97" s="57">
        <f t="shared" si="12"/>
        <v>45547.303913831071</v>
      </c>
    </row>
    <row r="98" spans="1:11" x14ac:dyDescent="0.15">
      <c r="A98" s="1">
        <f t="shared" si="13"/>
        <v>94</v>
      </c>
      <c r="B98" s="20">
        <v>0.19765079999999999</v>
      </c>
      <c r="C98" s="5">
        <f t="shared" si="17"/>
        <v>8719.6622390350112</v>
      </c>
      <c r="D98" s="51">
        <f t="shared" si="14"/>
        <v>1723.4482172750613</v>
      </c>
      <c r="E98" s="54">
        <f t="shared" si="10"/>
        <v>0.95409860444767214</v>
      </c>
      <c r="F98" s="55">
        <f t="shared" si="15"/>
        <v>8319.417573518369</v>
      </c>
      <c r="G98" s="56">
        <f t="shared" si="11"/>
        <v>35417.033604573597</v>
      </c>
      <c r="H98" s="57">
        <f t="shared" si="11"/>
        <v>133895.69407057305</v>
      </c>
      <c r="I98" s="55">
        <f t="shared" si="16"/>
        <v>1643.5177800499389</v>
      </c>
      <c r="J98" s="56">
        <f t="shared" si="12"/>
        <v>8301.7179065495657</v>
      </c>
      <c r="K98" s="57">
        <f t="shared" si="12"/>
        <v>35350.11921473324</v>
      </c>
    </row>
    <row r="99" spans="1:11" x14ac:dyDescent="0.15">
      <c r="A99" s="1">
        <f t="shared" si="13"/>
        <v>95</v>
      </c>
      <c r="B99" s="20">
        <v>0.21009230000000001</v>
      </c>
      <c r="C99" s="5">
        <f t="shared" si="17"/>
        <v>6996.2140217599499</v>
      </c>
      <c r="D99" s="51">
        <f t="shared" si="14"/>
        <v>1469.8506951237978</v>
      </c>
      <c r="E99" s="54">
        <f t="shared" si="10"/>
        <v>0.95362179355089638</v>
      </c>
      <c r="F99" s="55">
        <f t="shared" si="15"/>
        <v>6671.7421634966531</v>
      </c>
      <c r="G99" s="56">
        <f t="shared" si="11"/>
        <v>27097.61603105523</v>
      </c>
      <c r="H99" s="57">
        <f t="shared" si="11"/>
        <v>98478.660465999448</v>
      </c>
      <c r="I99" s="55">
        <f t="shared" si="16"/>
        <v>1400.9811655532117</v>
      </c>
      <c r="J99" s="56">
        <f t="shared" si="12"/>
        <v>6658.200126499627</v>
      </c>
      <c r="K99" s="57">
        <f t="shared" si="12"/>
        <v>27048.401308183675</v>
      </c>
    </row>
    <row r="100" spans="1:11" x14ac:dyDescent="0.15">
      <c r="A100" s="1">
        <f t="shared" si="13"/>
        <v>96</v>
      </c>
      <c r="B100" s="20">
        <v>0.22288359999999999</v>
      </c>
      <c r="C100" s="5">
        <f t="shared" si="17"/>
        <v>5526.3633266361521</v>
      </c>
      <c r="D100" s="51">
        <f t="shared" si="14"/>
        <v>1231.7357531486414</v>
      </c>
      <c r="E100" s="54">
        <f t="shared" si="10"/>
        <v>0.95314522094042642</v>
      </c>
      <c r="F100" s="55">
        <f t="shared" si="15"/>
        <v>5267.4267939636848</v>
      </c>
      <c r="G100" s="56">
        <f t="shared" si="11"/>
        <v>20425.873867558577</v>
      </c>
      <c r="H100" s="57">
        <f t="shared" si="11"/>
        <v>71381.044434944226</v>
      </c>
      <c r="I100" s="55">
        <f t="shared" si="16"/>
        <v>1173.4363284108788</v>
      </c>
      <c r="J100" s="56">
        <f t="shared" si="12"/>
        <v>5257.2189609464149</v>
      </c>
      <c r="K100" s="57">
        <f t="shared" si="12"/>
        <v>20390.201181684046</v>
      </c>
    </row>
    <row r="101" spans="1:11" x14ac:dyDescent="0.15">
      <c r="A101" s="1">
        <f t="shared" si="13"/>
        <v>97</v>
      </c>
      <c r="B101" s="20">
        <v>0.23602480000000001</v>
      </c>
      <c r="C101" s="5">
        <f t="shared" si="17"/>
        <v>4294.6275734875107</v>
      </c>
      <c r="D101" s="51">
        <f t="shared" si="14"/>
        <v>1013.6386141068751</v>
      </c>
      <c r="E101" s="54">
        <f t="shared" si="10"/>
        <v>0.95266888649717774</v>
      </c>
      <c r="F101" s="55">
        <f t="shared" si="15"/>
        <v>4091.3580683544233</v>
      </c>
      <c r="G101" s="56">
        <f t="shared" si="11"/>
        <v>15158.447073594893</v>
      </c>
      <c r="H101" s="57">
        <f t="shared" si="11"/>
        <v>50955.170567385656</v>
      </c>
      <c r="I101" s="55">
        <f t="shared" si="16"/>
        <v>965.17938012167849</v>
      </c>
      <c r="J101" s="56">
        <f t="shared" si="12"/>
        <v>4083.7826325355359</v>
      </c>
      <c r="K101" s="57">
        <f t="shared" si="12"/>
        <v>15132.982220737629</v>
      </c>
    </row>
    <row r="102" spans="1:11" x14ac:dyDescent="0.15">
      <c r="A102" s="1">
        <f t="shared" si="13"/>
        <v>98</v>
      </c>
      <c r="B102" s="20">
        <v>0.2495156</v>
      </c>
      <c r="C102" s="5">
        <f t="shared" si="17"/>
        <v>3280.9889593806356</v>
      </c>
      <c r="D102" s="51">
        <f t="shared" si="14"/>
        <v>818.65792879323499</v>
      </c>
      <c r="E102" s="54">
        <f t="shared" si="10"/>
        <v>0.95219279010212687</v>
      </c>
      <c r="F102" s="55">
        <f t="shared" si="15"/>
        <v>3124.1340315269213</v>
      </c>
      <c r="G102" s="56">
        <f t="shared" si="11"/>
        <v>11067.089005240468</v>
      </c>
      <c r="H102" s="57">
        <f t="shared" si="11"/>
        <v>35796.723493790763</v>
      </c>
      <c r="I102" s="55">
        <f t="shared" si="16"/>
        <v>779.13061205083329</v>
      </c>
      <c r="J102" s="56">
        <f t="shared" si="12"/>
        <v>3118.6032524138573</v>
      </c>
      <c r="K102" s="57">
        <f t="shared" si="12"/>
        <v>11049.199588202093</v>
      </c>
    </row>
    <row r="103" spans="1:11" x14ac:dyDescent="0.15">
      <c r="A103" s="1">
        <f t="shared" si="13"/>
        <v>99</v>
      </c>
      <c r="B103" s="20">
        <v>0.26335609999999998</v>
      </c>
      <c r="C103" s="5">
        <f t="shared" si="17"/>
        <v>2462.3310305874006</v>
      </c>
      <c r="D103" s="51">
        <f t="shared" si="14"/>
        <v>648.46989712447839</v>
      </c>
      <c r="E103" s="54">
        <f t="shared" si="10"/>
        <v>0.95171693163630866</v>
      </c>
      <c r="F103" s="55">
        <f t="shared" si="15"/>
        <v>2343.4421331035105</v>
      </c>
      <c r="G103" s="56">
        <f t="shared" si="11"/>
        <v>7942.9549737135476</v>
      </c>
      <c r="H103" s="57">
        <f t="shared" si="11"/>
        <v>24729.634488550291</v>
      </c>
      <c r="I103" s="55">
        <f t="shared" si="16"/>
        <v>616.85135507228517</v>
      </c>
      <c r="J103" s="56">
        <f t="shared" si="12"/>
        <v>2339.4726403630239</v>
      </c>
      <c r="K103" s="57">
        <f t="shared" si="12"/>
        <v>7930.5963357882347</v>
      </c>
    </row>
    <row r="104" spans="1:11" x14ac:dyDescent="0.15">
      <c r="A104" s="1">
        <f t="shared" si="13"/>
        <v>100</v>
      </c>
      <c r="B104" s="20">
        <v>0.27754590000000001</v>
      </c>
      <c r="C104" s="5">
        <f t="shared" si="17"/>
        <v>1813.8611334629222</v>
      </c>
      <c r="D104" s="51">
        <f t="shared" si="14"/>
        <v>503.4297207619868</v>
      </c>
      <c r="E104" s="54">
        <f t="shared" si="10"/>
        <v>0.95124131098081821</v>
      </c>
      <c r="F104" s="55">
        <f t="shared" si="15"/>
        <v>1725.419642532423</v>
      </c>
      <c r="G104" s="56">
        <f t="shared" si="11"/>
        <v>5599.5128406100375</v>
      </c>
      <c r="H104" s="57">
        <f t="shared" si="11"/>
        <v>16786.679514836742</v>
      </c>
      <c r="I104" s="55">
        <f t="shared" si="16"/>
        <v>478.64382565151379</v>
      </c>
      <c r="J104" s="56">
        <f t="shared" si="12"/>
        <v>1722.6212852907388</v>
      </c>
      <c r="K104" s="57">
        <f t="shared" si="12"/>
        <v>5591.1236954252108</v>
      </c>
    </row>
    <row r="105" spans="1:11" x14ac:dyDescent="0.15">
      <c r="A105" s="1">
        <f t="shared" si="13"/>
        <v>101</v>
      </c>
      <c r="B105" s="20">
        <v>0.29208509999999999</v>
      </c>
      <c r="C105" s="5">
        <f t="shared" si="17"/>
        <v>1310.4314127009354</v>
      </c>
      <c r="D105" s="51">
        <f t="shared" si="14"/>
        <v>382.75749022189393</v>
      </c>
      <c r="E105" s="54">
        <f t="shared" si="10"/>
        <v>0.95076592801680981</v>
      </c>
      <c r="F105" s="55">
        <f t="shared" si="15"/>
        <v>1245.913538198984</v>
      </c>
      <c r="G105" s="56">
        <f t="shared" si="11"/>
        <v>3874.093198077614</v>
      </c>
      <c r="H105" s="57">
        <f t="shared" si="11"/>
        <v>11187.166674226704</v>
      </c>
      <c r="I105" s="55">
        <f t="shared" si="16"/>
        <v>363.73091493873466</v>
      </c>
      <c r="J105" s="56">
        <f t="shared" si="12"/>
        <v>1243.9774596392251</v>
      </c>
      <c r="K105" s="57">
        <f t="shared" si="12"/>
        <v>3868.5024101344725</v>
      </c>
    </row>
    <row r="106" spans="1:11" x14ac:dyDescent="0.15">
      <c r="A106" s="1">
        <f t="shared" si="13"/>
        <v>102</v>
      </c>
      <c r="B106" s="20">
        <v>0.3069733</v>
      </c>
      <c r="C106" s="5">
        <f t="shared" si="17"/>
        <v>927.67392247904149</v>
      </c>
      <c r="D106" s="51">
        <f t="shared" si="14"/>
        <v>284.77112530733552</v>
      </c>
      <c r="E106" s="54">
        <f t="shared" si="10"/>
        <v>0.95029078262549715</v>
      </c>
      <c r="F106" s="55">
        <f t="shared" si="15"/>
        <v>881.55997781387316</v>
      </c>
      <c r="G106" s="56">
        <f t="shared" si="11"/>
        <v>2628.17965987863</v>
      </c>
      <c r="H106" s="57">
        <f t="shared" si="11"/>
        <v>7313.0734761490894</v>
      </c>
      <c r="I106" s="55">
        <f t="shared" si="16"/>
        <v>270.48013546971652</v>
      </c>
      <c r="J106" s="56">
        <f t="shared" si="12"/>
        <v>880.24654470049052</v>
      </c>
      <c r="K106" s="57">
        <f t="shared" si="12"/>
        <v>2624.5249504952471</v>
      </c>
    </row>
    <row r="107" spans="1:11" x14ac:dyDescent="0.15">
      <c r="A107" s="1">
        <f t="shared" si="13"/>
        <v>103</v>
      </c>
      <c r="B107" s="20">
        <v>0.32221070000000002</v>
      </c>
      <c r="C107" s="5">
        <f t="shared" si="17"/>
        <v>642.90279717170597</v>
      </c>
      <c r="D107" s="51">
        <f t="shared" si="14"/>
        <v>207.15016030865343</v>
      </c>
      <c r="E107" s="54">
        <f t="shared" si="10"/>
        <v>0.94981587468815309</v>
      </c>
      <c r="F107" s="55">
        <f t="shared" si="15"/>
        <v>610.63928263510422</v>
      </c>
      <c r="G107" s="56">
        <f t="shared" si="11"/>
        <v>1746.6196820647569</v>
      </c>
      <c r="H107" s="57">
        <f t="shared" si="11"/>
        <v>4684.8938162704599</v>
      </c>
      <c r="I107" s="55">
        <f t="shared" si="16"/>
        <v>196.65618261404776</v>
      </c>
      <c r="J107" s="56">
        <f t="shared" si="12"/>
        <v>609.766409230774</v>
      </c>
      <c r="K107" s="57">
        <f t="shared" si="12"/>
        <v>1744.2784057947565</v>
      </c>
    </row>
    <row r="108" spans="1:11" x14ac:dyDescent="0.15">
      <c r="A108" s="1">
        <f t="shared" si="13"/>
        <v>104</v>
      </c>
      <c r="B108" s="20">
        <v>0.33779680000000001</v>
      </c>
      <c r="C108" s="5">
        <f t="shared" si="17"/>
        <v>435.75263686305254</v>
      </c>
      <c r="D108" s="51">
        <f t="shared" si="14"/>
        <v>147.19584632390121</v>
      </c>
      <c r="E108" s="54">
        <f t="shared" si="10"/>
        <v>0.94934120408611011</v>
      </c>
      <c r="F108" s="55">
        <f t="shared" si="15"/>
        <v>413.67793296326778</v>
      </c>
      <c r="G108" s="56">
        <f t="shared" si="11"/>
        <v>1135.9803994296526</v>
      </c>
      <c r="H108" s="57">
        <f t="shared" si="11"/>
        <v>2938.2741342057034</v>
      </c>
      <c r="I108" s="55">
        <f t="shared" si="16"/>
        <v>139.66924736192541</v>
      </c>
      <c r="J108" s="56">
        <f t="shared" si="12"/>
        <v>413.11022661672621</v>
      </c>
      <c r="K108" s="57">
        <f t="shared" si="12"/>
        <v>1134.5119965639824</v>
      </c>
    </row>
    <row r="109" spans="1:11" x14ac:dyDescent="0.15">
      <c r="A109" s="1">
        <f t="shared" si="13"/>
        <v>105</v>
      </c>
      <c r="B109" s="20">
        <v>0.35373149999999998</v>
      </c>
      <c r="C109" s="5">
        <f t="shared" si="17"/>
        <v>288.55679053915134</v>
      </c>
      <c r="D109" s="51">
        <f t="shared" si="14"/>
        <v>102.07162635259979</v>
      </c>
      <c r="E109" s="54">
        <f t="shared" si="10"/>
        <v>0.94886677070075964</v>
      </c>
      <c r="F109" s="55">
        <f t="shared" si="15"/>
        <v>273.80195000266002</v>
      </c>
      <c r="G109" s="56">
        <f t="shared" si="11"/>
        <v>722.30246646638489</v>
      </c>
      <c r="H109" s="57">
        <f t="shared" si="11"/>
        <v>1802.293734776051</v>
      </c>
      <c r="I109" s="55">
        <f t="shared" si="16"/>
        <v>96.803972491120376</v>
      </c>
      <c r="J109" s="56">
        <f t="shared" si="12"/>
        <v>273.44097925480077</v>
      </c>
      <c r="K109" s="57">
        <f t="shared" si="12"/>
        <v>721.4017699472563</v>
      </c>
    </row>
    <row r="110" spans="1:11" x14ac:dyDescent="0.15">
      <c r="A110" s="1">
        <f t="shared" si="13"/>
        <v>106</v>
      </c>
      <c r="B110" s="20">
        <v>0.37001469999999997</v>
      </c>
      <c r="C110" s="5">
        <f t="shared" si="17"/>
        <v>186.48516418655154</v>
      </c>
      <c r="D110" s="51">
        <f t="shared" si="14"/>
        <v>69.002252080937623</v>
      </c>
      <c r="E110" s="54">
        <f t="shared" si="10"/>
        <v>0.94839257441355296</v>
      </c>
      <c r="F110" s="55">
        <f t="shared" si="15"/>
        <v>176.86114495281774</v>
      </c>
      <c r="G110" s="56">
        <f t="shared" si="11"/>
        <v>448.50051646372481</v>
      </c>
      <c r="H110" s="57">
        <f t="shared" si="11"/>
        <v>1079.9912683096661</v>
      </c>
      <c r="I110" s="55">
        <f t="shared" si="16"/>
        <v>65.408519231757495</v>
      </c>
      <c r="J110" s="56">
        <f t="shared" si="12"/>
        <v>176.6370067636804</v>
      </c>
      <c r="K110" s="57">
        <f t="shared" si="12"/>
        <v>447.96079069245553</v>
      </c>
    </row>
    <row r="111" spans="1:11" x14ac:dyDescent="0.15">
      <c r="A111" s="1">
        <f t="shared" si="13"/>
        <v>107</v>
      </c>
      <c r="B111" s="20">
        <v>0.3866462</v>
      </c>
      <c r="C111" s="5">
        <f t="shared" si="17"/>
        <v>117.48291210561392</v>
      </c>
      <c r="D111" s="51">
        <f t="shared" si="14"/>
        <v>45.424321530569614</v>
      </c>
      <c r="E111" s="54">
        <f t="shared" si="10"/>
        <v>0.94791861510599995</v>
      </c>
      <c r="F111" s="55">
        <f t="shared" si="15"/>
        <v>111.36423934177347</v>
      </c>
      <c r="G111" s="56">
        <f t="shared" si="11"/>
        <v>271.63937151090704</v>
      </c>
      <c r="H111" s="57">
        <f t="shared" si="11"/>
        <v>631.4907518459413</v>
      </c>
      <c r="I111" s="55">
        <f t="shared" si="16"/>
        <v>43.037041436668858</v>
      </c>
      <c r="J111" s="56">
        <f t="shared" si="12"/>
        <v>111.22848753192292</v>
      </c>
      <c r="K111" s="57">
        <f t="shared" si="12"/>
        <v>271.32378392877513</v>
      </c>
    </row>
    <row r="112" spans="1:11" x14ac:dyDescent="0.15">
      <c r="A112" s="1">
        <f t="shared" si="13"/>
        <v>108</v>
      </c>
      <c r="B112" s="20">
        <v>0.40362559999999997</v>
      </c>
      <c r="C112" s="5">
        <f t="shared" si="17"/>
        <v>72.058590575044306</v>
      </c>
      <c r="D112" s="51">
        <f t="shared" si="14"/>
        <v>29.084691856006607</v>
      </c>
      <c r="E112" s="54">
        <f t="shared" si="10"/>
        <v>0.94744489265966991</v>
      </c>
      <c r="F112" s="55">
        <f t="shared" si="15"/>
        <v>68.271543612579961</v>
      </c>
      <c r="G112" s="56">
        <f t="shared" si="11"/>
        <v>160.2751321691336</v>
      </c>
      <c r="H112" s="57">
        <f t="shared" si="11"/>
        <v>359.85138033503421</v>
      </c>
      <c r="I112" s="55">
        <f t="shared" si="16"/>
        <v>27.542371567769877</v>
      </c>
      <c r="J112" s="56">
        <f t="shared" si="12"/>
        <v>68.191446095254065</v>
      </c>
      <c r="K112" s="57">
        <f t="shared" si="12"/>
        <v>160.09529639685223</v>
      </c>
    </row>
    <row r="113" spans="1:12" x14ac:dyDescent="0.15">
      <c r="A113" s="1">
        <f t="shared" si="13"/>
        <v>109</v>
      </c>
      <c r="B113" s="20">
        <v>0.42095300000000002</v>
      </c>
      <c r="C113" s="5">
        <f t="shared" si="17"/>
        <v>42.973898719037699</v>
      </c>
      <c r="D113" s="51">
        <f t="shared" si="14"/>
        <v>18.089991587475076</v>
      </c>
      <c r="E113" s="54">
        <f t="shared" si="10"/>
        <v>0.94697140695619197</v>
      </c>
      <c r="F113" s="55">
        <f t="shared" si="15"/>
        <v>40.695053332360025</v>
      </c>
      <c r="G113" s="56">
        <f t="shared" si="11"/>
        <v>92.003588556553638</v>
      </c>
      <c r="H113" s="57">
        <f t="shared" si="11"/>
        <v>199.57624816590061</v>
      </c>
      <c r="I113" s="55">
        <f t="shared" si="16"/>
        <v>17.122143713560174</v>
      </c>
      <c r="J113" s="56">
        <f t="shared" si="12"/>
        <v>40.649074527484188</v>
      </c>
      <c r="K113" s="57">
        <f t="shared" si="12"/>
        <v>91.903850301598169</v>
      </c>
    </row>
    <row r="114" spans="1:12" x14ac:dyDescent="0.15">
      <c r="A114" s="1">
        <f t="shared" si="13"/>
        <v>110</v>
      </c>
      <c r="B114" s="20">
        <v>0.43862770000000001</v>
      </c>
      <c r="C114" s="5">
        <f t="shared" si="17"/>
        <v>24.883907131562623</v>
      </c>
      <c r="D114" s="51">
        <f t="shared" si="14"/>
        <v>10.914770952130912</v>
      </c>
      <c r="E114" s="54">
        <f t="shared" si="10"/>
        <v>0.94649815787725367</v>
      </c>
      <c r="F114" s="55">
        <f t="shared" si="15"/>
        <v>23.552572260812678</v>
      </c>
      <c r="G114" s="56">
        <f t="shared" si="11"/>
        <v>51.308535224193605</v>
      </c>
      <c r="H114" s="57">
        <f t="shared" si="11"/>
        <v>107.57265960934697</v>
      </c>
      <c r="I114" s="55">
        <f t="shared" si="16"/>
        <v>10.325647775956083</v>
      </c>
      <c r="J114" s="56">
        <f t="shared" si="12"/>
        <v>23.526930813924018</v>
      </c>
      <c r="K114" s="57">
        <f t="shared" si="12"/>
        <v>51.254775774113973</v>
      </c>
    </row>
    <row r="115" spans="1:12" x14ac:dyDescent="0.15">
      <c r="A115" s="1">
        <f t="shared" si="13"/>
        <v>111</v>
      </c>
      <c r="B115" s="20">
        <v>0.4566499</v>
      </c>
      <c r="C115" s="5">
        <f t="shared" si="17"/>
        <v>13.969136179431711</v>
      </c>
      <c r="D115" s="51">
        <f t="shared" si="14"/>
        <v>6.3790046394238722</v>
      </c>
      <c r="E115" s="54">
        <f t="shared" si="10"/>
        <v>0.94602514530460102</v>
      </c>
      <c r="F115" s="55">
        <f t="shared" si="15"/>
        <v>13.215154083926643</v>
      </c>
      <c r="G115" s="56">
        <f t="shared" si="11"/>
        <v>27.755962963380931</v>
      </c>
      <c r="H115" s="57">
        <f t="shared" si="11"/>
        <v>56.264124385153359</v>
      </c>
      <c r="I115" s="55">
        <f t="shared" si="16"/>
        <v>6.031682949434976</v>
      </c>
      <c r="J115" s="56">
        <f t="shared" si="12"/>
        <v>13.201283037967935</v>
      </c>
      <c r="K115" s="57">
        <f t="shared" si="12"/>
        <v>27.727844960189955</v>
      </c>
    </row>
    <row r="116" spans="1:12" x14ac:dyDescent="0.15">
      <c r="A116" s="1">
        <f t="shared" si="13"/>
        <v>112</v>
      </c>
      <c r="B116" s="20">
        <v>0.47501890000000002</v>
      </c>
      <c r="C116" s="5">
        <f t="shared" si="17"/>
        <v>7.5901315400078389</v>
      </c>
      <c r="D116" s="51">
        <f t="shared" si="14"/>
        <v>3.6054559349898296</v>
      </c>
      <c r="E116" s="54">
        <f t="shared" si="10"/>
        <v>0.94555236912004115</v>
      </c>
      <c r="F116" s="55">
        <f t="shared" si="15"/>
        <v>7.1768668595871583</v>
      </c>
      <c r="G116" s="56">
        <f t="shared" si="11"/>
        <v>14.540808879454289</v>
      </c>
      <c r="H116" s="57">
        <f t="shared" si="11"/>
        <v>28.508161421772428</v>
      </c>
      <c r="I116" s="55">
        <f t="shared" si="16"/>
        <v>3.4074436792479226</v>
      </c>
      <c r="J116" s="56">
        <f t="shared" si="12"/>
        <v>7.1696000885329587</v>
      </c>
      <c r="K116" s="57">
        <f t="shared" si="12"/>
        <v>14.526561922222019</v>
      </c>
    </row>
    <row r="117" spans="1:12" x14ac:dyDescent="0.15">
      <c r="A117" s="1">
        <f t="shared" si="13"/>
        <v>113</v>
      </c>
      <c r="B117" s="20">
        <v>0.49373479999999997</v>
      </c>
      <c r="C117" s="5">
        <f t="shared" si="17"/>
        <v>3.9846756050180092</v>
      </c>
      <c r="D117" s="51">
        <f t="shared" si="14"/>
        <v>1.9673730129084452</v>
      </c>
      <c r="E117" s="54">
        <f t="shared" si="10"/>
        <v>0.94507982920543843</v>
      </c>
      <c r="F117" s="55">
        <f t="shared" si="15"/>
        <v>3.7658365402294973</v>
      </c>
      <c r="G117" s="56">
        <f t="shared" si="11"/>
        <v>7.3639420198671299</v>
      </c>
      <c r="H117" s="57">
        <f t="shared" si="11"/>
        <v>13.967352542318139</v>
      </c>
      <c r="I117" s="55">
        <f t="shared" si="16"/>
        <v>1.8583953533462296</v>
      </c>
      <c r="J117" s="56">
        <f t="shared" si="12"/>
        <v>3.7621564092850361</v>
      </c>
      <c r="K117" s="57">
        <f t="shared" si="12"/>
        <v>7.3569618336890592</v>
      </c>
    </row>
    <row r="118" spans="1:12" x14ac:dyDescent="0.15">
      <c r="A118" s="1">
        <f t="shared" si="13"/>
        <v>114</v>
      </c>
      <c r="B118" s="20">
        <v>0.5127969</v>
      </c>
      <c r="C118" s="5">
        <f t="shared" si="17"/>
        <v>2.017302592109564</v>
      </c>
      <c r="D118" s="51">
        <f t="shared" si="14"/>
        <v>1.0344665155957489</v>
      </c>
      <c r="E118" s="54">
        <f t="shared" si="10"/>
        <v>0.94460752544271731</v>
      </c>
      <c r="F118" s="55">
        <f t="shared" si="15"/>
        <v>1.9055592096017946</v>
      </c>
      <c r="G118" s="56">
        <f t="shared" si="11"/>
        <v>3.5981054796376322</v>
      </c>
      <c r="H118" s="57">
        <f t="shared" si="11"/>
        <v>6.603410522451008</v>
      </c>
      <c r="I118" s="55">
        <f t="shared" si="16"/>
        <v>0.97667651719165438</v>
      </c>
      <c r="J118" s="56">
        <f t="shared" si="12"/>
        <v>1.9037610559388067</v>
      </c>
      <c r="K118" s="57">
        <f t="shared" si="12"/>
        <v>3.5948054244040235</v>
      </c>
    </row>
    <row r="119" spans="1:12" x14ac:dyDescent="0.15">
      <c r="A119" s="1">
        <f t="shared" si="13"/>
        <v>115</v>
      </c>
      <c r="B119" s="20">
        <v>0.53220500000000004</v>
      </c>
      <c r="C119" s="5">
        <f t="shared" si="17"/>
        <v>0.9828360765138151</v>
      </c>
      <c r="D119" s="51">
        <f t="shared" si="14"/>
        <v>0.52307027410103502</v>
      </c>
      <c r="E119" s="54">
        <f t="shared" si="10"/>
        <v>0.94413545771386009</v>
      </c>
      <c r="F119" s="55">
        <f t="shared" si="15"/>
        <v>0.92793038895706526</v>
      </c>
      <c r="G119" s="56">
        <f t="shared" si="11"/>
        <v>1.6925462700358378</v>
      </c>
      <c r="H119" s="57">
        <f t="shared" si="11"/>
        <v>3.0053050428133758</v>
      </c>
      <c r="I119" s="55">
        <f t="shared" si="16"/>
        <v>0.49360239145916546</v>
      </c>
      <c r="J119" s="56">
        <f t="shared" si="12"/>
        <v>0.92708453874715246</v>
      </c>
      <c r="K119" s="57">
        <f t="shared" si="12"/>
        <v>1.6910443684652168</v>
      </c>
    </row>
    <row r="120" spans="1:12" x14ac:dyDescent="0.15">
      <c r="A120" s="1">
        <f t="shared" si="13"/>
        <v>116</v>
      </c>
      <c r="B120" s="20">
        <v>0.55195870000000002</v>
      </c>
      <c r="C120" s="5">
        <f t="shared" si="17"/>
        <v>0.45976580241278009</v>
      </c>
      <c r="D120" s="51">
        <f t="shared" si="14"/>
        <v>0.25377173460421498</v>
      </c>
      <c r="E120" s="54">
        <f t="shared" si="10"/>
        <v>0.9436636259009098</v>
      </c>
      <c r="F120" s="55">
        <f t="shared" si="15"/>
        <v>0.43386426417008533</v>
      </c>
      <c r="G120" s="56">
        <f t="shared" si="11"/>
        <v>0.76461588107877254</v>
      </c>
      <c r="H120" s="57">
        <f t="shared" si="11"/>
        <v>1.3127587727775381</v>
      </c>
      <c r="I120" s="55">
        <f t="shared" si="16"/>
        <v>0.23935547748903241</v>
      </c>
      <c r="J120" s="56">
        <f t="shared" si="12"/>
        <v>0.43348214728798706</v>
      </c>
      <c r="K120" s="57">
        <f t="shared" si="12"/>
        <v>0.7639598297180642</v>
      </c>
    </row>
    <row r="121" spans="1:12" x14ac:dyDescent="0.15">
      <c r="A121" s="1">
        <f t="shared" si="13"/>
        <v>117</v>
      </c>
      <c r="B121" s="20">
        <v>0.5720575</v>
      </c>
      <c r="C121" s="5">
        <f t="shared" si="17"/>
        <v>0.20599406780856511</v>
      </c>
      <c r="D121" s="51">
        <f t="shared" si="14"/>
        <v>0.11784045144539823</v>
      </c>
      <c r="E121" s="54">
        <f t="shared" si="10"/>
        <v>0.94319202988596695</v>
      </c>
      <c r="F121" s="55">
        <f t="shared" si="15"/>
        <v>0.19429196296082804</v>
      </c>
      <c r="G121" s="56">
        <f t="shared" si="11"/>
        <v>0.33075161690868721</v>
      </c>
      <c r="H121" s="57">
        <f t="shared" si="11"/>
        <v>0.54814289169876562</v>
      </c>
      <c r="I121" s="55">
        <f t="shared" si="16"/>
        <v>0.11109062928682049</v>
      </c>
      <c r="J121" s="56">
        <f t="shared" si="12"/>
        <v>0.19412666979895465</v>
      </c>
      <c r="K121" s="57">
        <f t="shared" si="12"/>
        <v>0.33047768243007714</v>
      </c>
    </row>
    <row r="122" spans="1:12" x14ac:dyDescent="0.15">
      <c r="A122" s="1">
        <f t="shared" si="13"/>
        <v>118</v>
      </c>
      <c r="B122" s="20">
        <v>0.59250100000000006</v>
      </c>
      <c r="C122" s="5">
        <f t="shared" si="17"/>
        <v>8.8153616363166876E-2</v>
      </c>
      <c r="D122" s="51">
        <f t="shared" si="14"/>
        <v>5.2231105848792744E-2</v>
      </c>
      <c r="E122" s="54">
        <f t="shared" si="10"/>
        <v>0.94272066955119149</v>
      </c>
      <c r="F122" s="55">
        <f t="shared" si="15"/>
        <v>8.3104236241243551E-2</v>
      </c>
      <c r="G122" s="56">
        <f t="shared" si="11"/>
        <v>0.13645965394785917</v>
      </c>
      <c r="H122" s="57">
        <f t="shared" si="11"/>
        <v>0.21739127479007847</v>
      </c>
      <c r="I122" s="55">
        <f t="shared" si="16"/>
        <v>4.9214735709318377E-2</v>
      </c>
      <c r="J122" s="56">
        <f t="shared" si="12"/>
        <v>8.3036040512134146E-2</v>
      </c>
      <c r="K122" s="57">
        <f t="shared" si="12"/>
        <v>0.13635101263112248</v>
      </c>
    </row>
    <row r="123" spans="1:12" x14ac:dyDescent="0.15">
      <c r="A123" s="1">
        <f t="shared" si="13"/>
        <v>119</v>
      </c>
      <c r="B123" s="20">
        <v>0.61328870000000002</v>
      </c>
      <c r="C123" s="5">
        <f t="shared" si="17"/>
        <v>3.5922510514374131E-2</v>
      </c>
      <c r="D123" s="51">
        <f t="shared" si="14"/>
        <v>2.2030869774096844E-2</v>
      </c>
      <c r="E123" s="54">
        <f t="shared" si="10"/>
        <v>0.94224954477880185</v>
      </c>
      <c r="F123" s="55">
        <f t="shared" si="15"/>
        <v>3.3847969179480748E-2</v>
      </c>
      <c r="G123" s="56">
        <f t="shared" si="11"/>
        <v>5.3355417706615615E-2</v>
      </c>
      <c r="H123" s="57">
        <f t="shared" si="11"/>
        <v>8.0931620842219304E-2</v>
      </c>
      <c r="I123" s="55">
        <f t="shared" si="16"/>
        <v>2.0748202914266684E-2</v>
      </c>
      <c r="J123" s="56">
        <f t="shared" si="12"/>
        <v>3.3821304802815776E-2</v>
      </c>
      <c r="K123" s="57">
        <f t="shared" si="12"/>
        <v>5.3314972118988321E-2</v>
      </c>
    </row>
    <row r="124" spans="1:12" x14ac:dyDescent="0.15">
      <c r="A124" s="1">
        <f t="shared" si="13"/>
        <v>120</v>
      </c>
      <c r="B124" s="20">
        <v>0.63441979999999998</v>
      </c>
      <c r="C124" s="5">
        <f t="shared" si="17"/>
        <v>1.3891640740277288E-2</v>
      </c>
      <c r="D124" s="51">
        <f t="shared" si="14"/>
        <v>8.8131319401185682E-3</v>
      </c>
      <c r="E124" s="54">
        <f t="shared" si="10"/>
        <v>0.94177865545107642</v>
      </c>
      <c r="F124" s="55">
        <f t="shared" si="15"/>
        <v>1.308285073838774E-2</v>
      </c>
      <c r="G124" s="56">
        <f t="shared" si="11"/>
        <v>1.9507448527134864E-2</v>
      </c>
      <c r="H124" s="57">
        <f t="shared" si="11"/>
        <v>2.7576203135603689E-2</v>
      </c>
      <c r="I124" s="55">
        <f t="shared" si="16"/>
        <v>8.2958716130712672E-3</v>
      </c>
      <c r="J124" s="56">
        <f t="shared" si="12"/>
        <v>1.3073101888549092E-2</v>
      </c>
      <c r="K124" s="57">
        <f t="shared" si="12"/>
        <v>1.9493667316172542E-2</v>
      </c>
    </row>
    <row r="125" spans="1:12" x14ac:dyDescent="0.15">
      <c r="A125" s="1">
        <f t="shared" si="13"/>
        <v>121</v>
      </c>
      <c r="B125" s="20">
        <v>0.65589390000000003</v>
      </c>
      <c r="C125" s="5">
        <f t="shared" si="17"/>
        <v>5.0785088001587195E-3</v>
      </c>
      <c r="D125" s="51">
        <f t="shared" si="14"/>
        <v>3.3309629431204236E-3</v>
      </c>
      <c r="E125" s="54">
        <f t="shared" si="10"/>
        <v>0.94130800145035143</v>
      </c>
      <c r="F125" s="55">
        <f t="shared" si="15"/>
        <v>4.7804409690254263E-3</v>
      </c>
      <c r="G125" s="56">
        <f t="shared" si="11"/>
        <v>6.4245977887471247E-3</v>
      </c>
      <c r="H125" s="57">
        <f t="shared" si="11"/>
        <v>8.0687546084688231E-3</v>
      </c>
      <c r="I125" s="55">
        <f t="shared" si="16"/>
        <v>3.1338951233321993E-3</v>
      </c>
      <c r="J125" s="56">
        <f t="shared" si="12"/>
        <v>4.7772302754778249E-3</v>
      </c>
      <c r="K125" s="57">
        <f t="shared" si="12"/>
        <v>6.420565427623451E-3</v>
      </c>
    </row>
    <row r="126" spans="1:12" x14ac:dyDescent="0.15">
      <c r="A126" s="7">
        <f t="shared" si="13"/>
        <v>122</v>
      </c>
      <c r="B126" s="21">
        <v>1</v>
      </c>
      <c r="C126" s="8">
        <f t="shared" si="17"/>
        <v>1.7475458570382961E-3</v>
      </c>
      <c r="D126" s="52">
        <f t="shared" si="14"/>
        <v>1.7475458570382961E-3</v>
      </c>
      <c r="E126" s="58">
        <f t="shared" si="10"/>
        <v>0.94083758265902162</v>
      </c>
      <c r="F126" s="59">
        <f t="shared" si="15"/>
        <v>1.6441568197216986E-3</v>
      </c>
      <c r="G126" s="60">
        <f t="shared" si="11"/>
        <v>1.6441568197216986E-3</v>
      </c>
      <c r="H126" s="61">
        <f t="shared" si="11"/>
        <v>1.6441568197216986E-3</v>
      </c>
      <c r="I126" s="59">
        <f t="shared" si="16"/>
        <v>1.6433351521456261E-3</v>
      </c>
      <c r="J126" s="60">
        <f t="shared" si="12"/>
        <v>1.6433351521456261E-3</v>
      </c>
      <c r="K126" s="61">
        <f t="shared" si="12"/>
        <v>1.6433351521456261E-3</v>
      </c>
    </row>
    <row r="127" spans="1:12" x14ac:dyDescent="0.15">
      <c r="A127" s="1">
        <f t="shared" si="13"/>
        <v>123</v>
      </c>
      <c r="B127" s="20">
        <v>1</v>
      </c>
      <c r="C127" s="5">
        <f t="shared" si="17"/>
        <v>0</v>
      </c>
      <c r="D127" s="51">
        <f t="shared" si="14"/>
        <v>0</v>
      </c>
      <c r="E127" s="54">
        <f t="shared" si="10"/>
        <v>0.94036739895954191</v>
      </c>
      <c r="F127" s="55">
        <f t="shared" si="15"/>
        <v>0</v>
      </c>
      <c r="G127" s="56">
        <f t="shared" si="11"/>
        <v>0</v>
      </c>
      <c r="H127" s="57">
        <f t="shared" si="11"/>
        <v>0</v>
      </c>
      <c r="I127" s="55">
        <f t="shared" si="16"/>
        <v>0</v>
      </c>
      <c r="J127" s="56">
        <f t="shared" si="12"/>
        <v>0</v>
      </c>
      <c r="K127" s="57">
        <f t="shared" si="12"/>
        <v>0</v>
      </c>
      <c r="L127" s="9"/>
    </row>
    <row r="128" spans="1:12" x14ac:dyDescent="0.15">
      <c r="A128" s="1">
        <f t="shared" si="13"/>
        <v>124</v>
      </c>
      <c r="B128" s="20">
        <v>1</v>
      </c>
      <c r="C128" s="5">
        <f t="shared" si="17"/>
        <v>0</v>
      </c>
      <c r="D128" s="51">
        <f t="shared" si="14"/>
        <v>0</v>
      </c>
      <c r="E128" s="54">
        <f t="shared" si="10"/>
        <v>0.93989745023442484</v>
      </c>
      <c r="F128" s="55">
        <f t="shared" si="15"/>
        <v>0</v>
      </c>
      <c r="G128" s="56">
        <f t="shared" si="11"/>
        <v>0</v>
      </c>
      <c r="H128" s="57">
        <f t="shared" si="11"/>
        <v>0</v>
      </c>
      <c r="I128" s="55">
        <f t="shared" si="16"/>
        <v>0</v>
      </c>
      <c r="J128" s="56">
        <f t="shared" si="12"/>
        <v>0</v>
      </c>
      <c r="K128" s="57">
        <f t="shared" si="12"/>
        <v>0</v>
      </c>
      <c r="L128" s="9"/>
    </row>
    <row r="129" spans="1:12" x14ac:dyDescent="0.15">
      <c r="A129" s="1">
        <f t="shared" si="13"/>
        <v>125</v>
      </c>
      <c r="B129" s="20">
        <v>1</v>
      </c>
      <c r="C129" s="5">
        <f t="shared" si="17"/>
        <v>0</v>
      </c>
      <c r="D129" s="51">
        <f t="shared" si="14"/>
        <v>0</v>
      </c>
      <c r="E129" s="54">
        <f t="shared" si="10"/>
        <v>0.93942773636624166</v>
      </c>
      <c r="F129" s="55">
        <f t="shared" si="15"/>
        <v>0</v>
      </c>
      <c r="G129" s="56">
        <f t="shared" si="11"/>
        <v>0</v>
      </c>
      <c r="H129" s="57">
        <f t="shared" si="11"/>
        <v>0</v>
      </c>
      <c r="I129" s="55">
        <f t="shared" si="16"/>
        <v>0</v>
      </c>
      <c r="J129" s="56">
        <f t="shared" si="12"/>
        <v>0</v>
      </c>
      <c r="K129" s="57">
        <f t="shared" si="12"/>
        <v>0</v>
      </c>
      <c r="L129" s="9"/>
    </row>
    <row r="130" spans="1:12" x14ac:dyDescent="0.15">
      <c r="A130" s="1">
        <f t="shared" si="13"/>
        <v>126</v>
      </c>
      <c r="B130" s="20">
        <v>1</v>
      </c>
      <c r="C130" s="5">
        <f t="shared" si="17"/>
        <v>0</v>
      </c>
      <c r="D130" s="51">
        <f t="shared" si="14"/>
        <v>0</v>
      </c>
      <c r="E130" s="54">
        <f t="shared" si="10"/>
        <v>0.93895825723762316</v>
      </c>
      <c r="F130" s="55">
        <f t="shared" si="15"/>
        <v>0</v>
      </c>
      <c r="G130" s="56">
        <f>G131+F130</f>
        <v>0</v>
      </c>
      <c r="H130" s="57">
        <f>H131+G130</f>
        <v>0</v>
      </c>
      <c r="I130" s="55">
        <f t="shared" si="16"/>
        <v>0</v>
      </c>
      <c r="J130" s="56">
        <f>J131+I130</f>
        <v>0</v>
      </c>
      <c r="K130" s="57">
        <f>K131+J130</f>
        <v>0</v>
      </c>
      <c r="L130" s="9"/>
    </row>
    <row r="131" spans="1:12" ht="14" thickBot="1" x14ac:dyDescent="0.2">
      <c r="A131" s="2">
        <f t="shared" si="13"/>
        <v>127</v>
      </c>
      <c r="B131" s="22">
        <v>1</v>
      </c>
      <c r="C131" s="6">
        <f t="shared" si="17"/>
        <v>0</v>
      </c>
      <c r="D131" s="53">
        <v>0</v>
      </c>
      <c r="E131" s="62">
        <f t="shared" si="10"/>
        <v>0.93848901273125729</v>
      </c>
      <c r="F131" s="63">
        <f t="shared" si="15"/>
        <v>0</v>
      </c>
      <c r="G131" s="64">
        <f>F131</f>
        <v>0</v>
      </c>
      <c r="H131" s="65">
        <f>G131</f>
        <v>0</v>
      </c>
      <c r="I131" s="66">
        <v>0</v>
      </c>
      <c r="J131" s="64">
        <f>I131</f>
        <v>0</v>
      </c>
      <c r="K131" s="65">
        <f>J131</f>
        <v>0</v>
      </c>
    </row>
    <row r="132" spans="1:12" x14ac:dyDescent="0.15">
      <c r="C132" s="11"/>
      <c r="D132" s="11" t="b">
        <f>(D126=C126)</f>
        <v>1</v>
      </c>
      <c r="E132" s="10"/>
      <c r="H132" s="46"/>
      <c r="I132" s="47" t="b">
        <f>(I126=F126/(1+D1))</f>
        <v>1</v>
      </c>
    </row>
    <row r="133" spans="1:12" x14ac:dyDescent="0.15">
      <c r="C133" s="11" t="b">
        <f>(SUM(C127:C131)=0)</f>
        <v>1</v>
      </c>
      <c r="D133" s="11" t="b">
        <f>(SUM(D127:D131)=0)</f>
        <v>1</v>
      </c>
      <c r="F133" s="48" t="b">
        <f>AND(F126=G126,G126=H126)</f>
        <v>1</v>
      </c>
      <c r="H133" s="41"/>
      <c r="I133" s="49" t="b">
        <f>AND(I126=J126,J126=K126)</f>
        <v>1</v>
      </c>
    </row>
    <row r="134" spans="1:12" x14ac:dyDescent="0.15">
      <c r="F134" s="48" t="b">
        <f>(SUM(F127:H131)=0)</f>
        <v>1</v>
      </c>
      <c r="H134" s="41"/>
      <c r="I134" s="49" t="b">
        <f>(SUM(I127:K131)=0)</f>
        <v>1</v>
      </c>
    </row>
  </sheetData>
  <phoneticPr fontId="0" type="noConversion"/>
  <pageMargins left="0.78740157480314965" right="0.78740157480314965" top="0.98425196850393704" bottom="0.98425196850393704" header="0.51181102362204722" footer="0.51181102362204722"/>
  <pageSetup scale="75" fitToHeight="2" orientation="portrait" r:id="rId1"/>
  <headerFooter alignWithMargins="0">
    <oddFooter>&amp;L&amp;A&amp;C&amp;P von &amp;N</oddFooter>
  </headerFooter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>
    <pageSetUpPr fitToPage="1"/>
  </sheetPr>
  <dimension ref="A1:N134"/>
  <sheetViews>
    <sheetView zoomScale="76" zoomScaleNormal="76" zoomScaleSheetLayoutView="100" workbookViewId="0">
      <pane ySplit="3" topLeftCell="A23" activePane="bottomLeft" state="frozen"/>
      <selection activeCell="A4" sqref="A4"/>
      <selection pane="bottomLeft" activeCell="L23" sqref="L23"/>
    </sheetView>
  </sheetViews>
  <sheetFormatPr baseColWidth="10" defaultColWidth="9.1640625" defaultRowHeight="13" x14ac:dyDescent="0.15"/>
  <cols>
    <col min="1" max="1" width="9.33203125" bestFit="1" customWidth="1"/>
    <col min="2" max="2" width="12" bestFit="1" customWidth="1"/>
    <col min="3" max="3" width="11.5" bestFit="1" customWidth="1"/>
    <col min="4" max="4" width="9.5" bestFit="1" customWidth="1"/>
    <col min="5" max="5" width="6.1640625" bestFit="1" customWidth="1"/>
    <col min="6" max="6" width="11.5" style="42" bestFit="1" customWidth="1"/>
    <col min="7" max="7" width="13" style="42" bestFit="1" customWidth="1"/>
    <col min="8" max="8" width="15" style="42" bestFit="1" customWidth="1"/>
    <col min="9" max="9" width="9.5" style="42" bestFit="1" customWidth="1"/>
    <col min="10" max="10" width="10.5" style="42" bestFit="1" customWidth="1"/>
    <col min="11" max="11" width="13" style="42" bestFit="1" customWidth="1"/>
  </cols>
  <sheetData>
    <row r="1" spans="1:14" ht="16" x14ac:dyDescent="0.2">
      <c r="A1" s="34" t="s">
        <v>26</v>
      </c>
      <c r="C1" s="24" t="s">
        <v>6</v>
      </c>
      <c r="D1" s="39">
        <v>5.0000000000000001E-4</v>
      </c>
    </row>
    <row r="2" spans="1:14" ht="14" thickBot="1" x14ac:dyDescent="0.2">
      <c r="A2" s="50">
        <v>1</v>
      </c>
      <c r="B2" s="50">
        <f>A2+1</f>
        <v>2</v>
      </c>
      <c r="C2" s="50">
        <f t="shared" ref="C2:K2" si="0">B2+1</f>
        <v>3</v>
      </c>
      <c r="D2" s="50">
        <f t="shared" si="0"/>
        <v>4</v>
      </c>
      <c r="E2" s="50">
        <f t="shared" si="0"/>
        <v>5</v>
      </c>
      <c r="F2" s="50">
        <f t="shared" si="0"/>
        <v>6</v>
      </c>
      <c r="G2" s="50">
        <f t="shared" si="0"/>
        <v>7</v>
      </c>
      <c r="H2" s="50">
        <f t="shared" si="0"/>
        <v>8</v>
      </c>
      <c r="I2" s="50">
        <f t="shared" si="0"/>
        <v>9</v>
      </c>
      <c r="J2" s="50">
        <f t="shared" si="0"/>
        <v>10</v>
      </c>
      <c r="K2" s="50">
        <f t="shared" si="0"/>
        <v>11</v>
      </c>
    </row>
    <row r="3" spans="1:14" ht="17" thickBot="1" x14ac:dyDescent="0.25">
      <c r="A3" s="29" t="s">
        <v>2</v>
      </c>
      <c r="B3" s="30" t="s">
        <v>3</v>
      </c>
      <c r="C3" s="29" t="s">
        <v>4</v>
      </c>
      <c r="D3" s="31" t="s">
        <v>15</v>
      </c>
      <c r="E3" s="32" t="s">
        <v>16</v>
      </c>
      <c r="F3" s="43" t="s">
        <v>17</v>
      </c>
      <c r="G3" s="44" t="s">
        <v>18</v>
      </c>
      <c r="H3" s="45" t="s">
        <v>19</v>
      </c>
      <c r="I3" s="43" t="s">
        <v>20</v>
      </c>
      <c r="J3" s="44" t="s">
        <v>21</v>
      </c>
      <c r="K3" s="45" t="s">
        <v>22</v>
      </c>
    </row>
    <row r="4" spans="1:14" x14ac:dyDescent="0.15">
      <c r="A4" s="1">
        <v>0</v>
      </c>
      <c r="B4" s="20">
        <v>1.5621000000000001E-3</v>
      </c>
      <c r="C4" s="23">
        <v>100000</v>
      </c>
      <c r="D4" s="51">
        <f>C4-C5</f>
        <v>156.2100000000064</v>
      </c>
      <c r="E4" s="54">
        <f t="shared" ref="E4:E67" si="1">(1+$D$1)^(-$A4)</f>
        <v>1</v>
      </c>
      <c r="F4" s="55">
        <f>C4*E4</f>
        <v>100000</v>
      </c>
      <c r="G4" s="56">
        <f t="shared" ref="G4:H67" si="2">G5+F4</f>
        <v>8064282.3728882587</v>
      </c>
      <c r="H4" s="57">
        <f t="shared" si="2"/>
        <v>345743037.2015391</v>
      </c>
      <c r="I4" s="55">
        <f>D4*E5</f>
        <v>156.1319340329899</v>
      </c>
      <c r="J4" s="56">
        <f t="shared" ref="J4:K67" si="3">J5+I4</f>
        <v>95969.873876617668</v>
      </c>
      <c r="K4" s="57">
        <f t="shared" si="3"/>
        <v>7891497.2468505166</v>
      </c>
    </row>
    <row r="5" spans="1:14" x14ac:dyDescent="0.15">
      <c r="A5" s="1">
        <f t="shared" ref="A5:A68" si="4">1+A4</f>
        <v>1</v>
      </c>
      <c r="B5" s="20">
        <v>1.2181E-3</v>
      </c>
      <c r="C5" s="5">
        <f>+C4*(1-$B4)</f>
        <v>99843.79</v>
      </c>
      <c r="D5" s="51">
        <f t="shared" ref="D5:D68" si="5">C5-C6</f>
        <v>121.6197205990029</v>
      </c>
      <c r="E5" s="54">
        <f t="shared" si="1"/>
        <v>0.99950024987506247</v>
      </c>
      <c r="F5" s="55">
        <f t="shared" ref="F5:F68" si="6">C5*E5</f>
        <v>99793.893053473264</v>
      </c>
      <c r="G5" s="56">
        <f t="shared" si="2"/>
        <v>7964282.3728882587</v>
      </c>
      <c r="H5" s="57">
        <f t="shared" si="2"/>
        <v>337678754.82865083</v>
      </c>
      <c r="I5" s="55">
        <f t="shared" ref="I5:I68" si="7">D5*E6</f>
        <v>121.49819203242248</v>
      </c>
      <c r="J5" s="56">
        <f t="shared" si="3"/>
        <v>95813.741942584675</v>
      </c>
      <c r="K5" s="57">
        <f t="shared" si="3"/>
        <v>7795527.3729738994</v>
      </c>
    </row>
    <row r="6" spans="1:14" x14ac:dyDescent="0.15">
      <c r="A6" s="1">
        <f t="shared" si="4"/>
        <v>2</v>
      </c>
      <c r="B6" s="20">
        <v>9.3260000000000001E-4</v>
      </c>
      <c r="C6" s="5">
        <f t="shared" ref="C6:C69" si="8">+C5*(1-$B5)</f>
        <v>99722.170279400991</v>
      </c>
      <c r="D6" s="51">
        <f t="shared" si="5"/>
        <v>93.000896002558875</v>
      </c>
      <c r="E6" s="54">
        <f t="shared" si="1"/>
        <v>0.99900074950031237</v>
      </c>
      <c r="F6" s="55">
        <f t="shared" si="6"/>
        <v>99622.522850919369</v>
      </c>
      <c r="G6" s="56">
        <f t="shared" si="2"/>
        <v>7864488.4798347857</v>
      </c>
      <c r="H6" s="57">
        <f t="shared" si="2"/>
        <v>329714472.45576257</v>
      </c>
      <c r="I6" s="55">
        <f t="shared" si="7"/>
        <v>92.861534043735048</v>
      </c>
      <c r="J6" s="56">
        <f t="shared" si="3"/>
        <v>95692.243750552254</v>
      </c>
      <c r="K6" s="57">
        <f t="shared" si="3"/>
        <v>7699713.6310313148</v>
      </c>
    </row>
    <row r="7" spans="1:14" x14ac:dyDescent="0.15">
      <c r="A7" s="1">
        <f t="shared" si="4"/>
        <v>3</v>
      </c>
      <c r="B7" s="20">
        <v>7.0089999999999996E-4</v>
      </c>
      <c r="C7" s="5">
        <f t="shared" si="8"/>
        <v>99629.169383398432</v>
      </c>
      <c r="D7" s="51">
        <f t="shared" si="5"/>
        <v>69.830084820830962</v>
      </c>
      <c r="E7" s="54">
        <f t="shared" si="1"/>
        <v>0.99850149875093686</v>
      </c>
      <c r="F7" s="55">
        <f t="shared" si="6"/>
        <v>99479.874948634286</v>
      </c>
      <c r="G7" s="56">
        <f t="shared" si="2"/>
        <v>7764865.9569838662</v>
      </c>
      <c r="H7" s="57">
        <f t="shared" si="2"/>
        <v>321849983.97592777</v>
      </c>
      <c r="I7" s="55">
        <f t="shared" si="7"/>
        <v>69.690599051978779</v>
      </c>
      <c r="J7" s="56">
        <f t="shared" si="3"/>
        <v>95599.382216508515</v>
      </c>
      <c r="K7" s="57">
        <f t="shared" si="3"/>
        <v>7604021.3872807622</v>
      </c>
    </row>
    <row r="8" spans="1:14" x14ac:dyDescent="0.15">
      <c r="A8" s="1">
        <f t="shared" si="4"/>
        <v>4</v>
      </c>
      <c r="B8" s="20">
        <v>5.1920000000000004E-4</v>
      </c>
      <c r="C8" s="5">
        <f t="shared" si="8"/>
        <v>99559.339298577601</v>
      </c>
      <c r="D8" s="51">
        <f t="shared" si="5"/>
        <v>51.691208963820827</v>
      </c>
      <c r="E8" s="54">
        <f t="shared" si="1"/>
        <v>0.99800249750218584</v>
      </c>
      <c r="F8" s="55">
        <f t="shared" si="6"/>
        <v>99360.469269647961</v>
      </c>
      <c r="G8" s="56">
        <f t="shared" si="2"/>
        <v>7665386.0820352323</v>
      </c>
      <c r="H8" s="57">
        <f t="shared" si="2"/>
        <v>314085118.01894391</v>
      </c>
      <c r="I8" s="55">
        <f t="shared" si="7"/>
        <v>51.562174557521807</v>
      </c>
      <c r="J8" s="56">
        <f t="shared" si="3"/>
        <v>95529.691617456541</v>
      </c>
      <c r="K8" s="57">
        <f t="shared" si="3"/>
        <v>7508422.0050642537</v>
      </c>
    </row>
    <row r="9" spans="1:14" x14ac:dyDescent="0.15">
      <c r="A9" s="1">
        <f t="shared" si="4"/>
        <v>5</v>
      </c>
      <c r="B9" s="20">
        <v>3.8470000000000003E-4</v>
      </c>
      <c r="C9" s="5">
        <f t="shared" si="8"/>
        <v>99507.64808961378</v>
      </c>
      <c r="D9" s="51">
        <f t="shared" si="5"/>
        <v>38.280592220078688</v>
      </c>
      <c r="E9" s="54">
        <f t="shared" si="1"/>
        <v>0.99750374562937127</v>
      </c>
      <c r="F9" s="55">
        <f t="shared" si="6"/>
        <v>99259.2516881591</v>
      </c>
      <c r="G9" s="56">
        <f t="shared" si="2"/>
        <v>7566025.6127655841</v>
      </c>
      <c r="H9" s="57">
        <f t="shared" si="2"/>
        <v>306419731.93690866</v>
      </c>
      <c r="I9" s="55">
        <f t="shared" si="7"/>
        <v>38.165951148864629</v>
      </c>
      <c r="J9" s="56">
        <f t="shared" si="3"/>
        <v>95478.129442899022</v>
      </c>
      <c r="K9" s="57">
        <f t="shared" si="3"/>
        <v>7412892.3134467974</v>
      </c>
    </row>
    <row r="10" spans="1:14" x14ac:dyDescent="0.15">
      <c r="A10" s="1">
        <f t="shared" si="4"/>
        <v>6</v>
      </c>
      <c r="B10" s="20">
        <v>2.9530000000000002E-4</v>
      </c>
      <c r="C10" s="5">
        <f t="shared" si="8"/>
        <v>99469.367497393701</v>
      </c>
      <c r="D10" s="51">
        <f t="shared" si="5"/>
        <v>29.373304221982835</v>
      </c>
      <c r="E10" s="54">
        <f t="shared" si="1"/>
        <v>0.99700524300786741</v>
      </c>
      <c r="F10" s="55">
        <f t="shared" si="6"/>
        <v>99171.480913577878</v>
      </c>
      <c r="G10" s="56">
        <f t="shared" si="2"/>
        <v>7466766.3610774251</v>
      </c>
      <c r="H10" s="57">
        <f t="shared" si="2"/>
        <v>298853706.32414305</v>
      </c>
      <c r="I10" s="55">
        <f t="shared" si="7"/>
        <v>29.270702962300859</v>
      </c>
      <c r="J10" s="56">
        <f t="shared" si="3"/>
        <v>95439.963491750153</v>
      </c>
      <c r="K10" s="57">
        <f t="shared" si="3"/>
        <v>7317414.1840038989</v>
      </c>
    </row>
    <row r="11" spans="1:14" x14ac:dyDescent="0.15">
      <c r="A11" s="1">
        <f t="shared" si="4"/>
        <v>7</v>
      </c>
      <c r="B11" s="20">
        <v>2.5030000000000001E-4</v>
      </c>
      <c r="C11" s="5">
        <f t="shared" si="8"/>
        <v>99439.994193171719</v>
      </c>
      <c r="D11" s="51">
        <f t="shared" si="5"/>
        <v>24.889830546555459</v>
      </c>
      <c r="E11" s="54">
        <f t="shared" si="1"/>
        <v>0.99650698951311067</v>
      </c>
      <c r="F11" s="55">
        <f t="shared" si="6"/>
        <v>99092.649250638759</v>
      </c>
      <c r="G11" s="56">
        <f t="shared" si="2"/>
        <v>7367594.8801638475</v>
      </c>
      <c r="H11" s="57">
        <f t="shared" si="2"/>
        <v>291386939.96306562</v>
      </c>
      <c r="I11" s="55">
        <f t="shared" si="7"/>
        <v>24.790494860009442</v>
      </c>
      <c r="J11" s="56">
        <f t="shared" si="3"/>
        <v>95410.692788787856</v>
      </c>
      <c r="K11" s="57">
        <f t="shared" si="3"/>
        <v>7221974.2205121489</v>
      </c>
    </row>
    <row r="12" spans="1:14" x14ac:dyDescent="0.15">
      <c r="A12" s="1">
        <f t="shared" si="4"/>
        <v>8</v>
      </c>
      <c r="B12" s="20">
        <v>2.4570000000000001E-4</v>
      </c>
      <c r="C12" s="5">
        <f t="shared" si="8"/>
        <v>99415.104362625163</v>
      </c>
      <c r="D12" s="51">
        <f t="shared" si="5"/>
        <v>24.426291141891852</v>
      </c>
      <c r="E12" s="54">
        <f t="shared" si="1"/>
        <v>0.99600898502060053</v>
      </c>
      <c r="F12" s="55">
        <f t="shared" si="6"/>
        <v>99018.337191935367</v>
      </c>
      <c r="G12" s="56">
        <f t="shared" si="2"/>
        <v>7268502.2309132088</v>
      </c>
      <c r="H12" s="57">
        <f t="shared" si="2"/>
        <v>284019345.08290178</v>
      </c>
      <c r="I12" s="55">
        <f t="shared" si="7"/>
        <v>24.316647124491144</v>
      </c>
      <c r="J12" s="56">
        <f t="shared" si="3"/>
        <v>95385.902293927851</v>
      </c>
      <c r="K12" s="57">
        <f t="shared" si="3"/>
        <v>7126563.5277233608</v>
      </c>
    </row>
    <row r="13" spans="1:14" x14ac:dyDescent="0.15">
      <c r="A13" s="1">
        <f t="shared" si="4"/>
        <v>9</v>
      </c>
      <c r="B13" s="20">
        <v>2.721E-4</v>
      </c>
      <c r="C13" s="5">
        <f t="shared" si="8"/>
        <v>99390.678071483271</v>
      </c>
      <c r="D13" s="51">
        <f t="shared" si="5"/>
        <v>27.044203503246536</v>
      </c>
      <c r="E13" s="54">
        <f t="shared" si="1"/>
        <v>0.99551122940589765</v>
      </c>
      <c r="F13" s="55">
        <f t="shared" si="6"/>
        <v>98944.536118428106</v>
      </c>
      <c r="G13" s="56">
        <f t="shared" si="2"/>
        <v>7169483.8937212732</v>
      </c>
      <c r="H13" s="57">
        <f t="shared" si="2"/>
        <v>276750842.85198855</v>
      </c>
      <c r="I13" s="55">
        <f t="shared" si="7"/>
        <v>26.909353601019731</v>
      </c>
      <c r="J13" s="56">
        <f t="shared" si="3"/>
        <v>95361.58564680336</v>
      </c>
      <c r="K13" s="57">
        <f t="shared" si="3"/>
        <v>7031177.6254294328</v>
      </c>
    </row>
    <row r="14" spans="1:14" x14ac:dyDescent="0.15">
      <c r="A14" s="1">
        <f t="shared" si="4"/>
        <v>10</v>
      </c>
      <c r="B14" s="20">
        <v>3.165E-4</v>
      </c>
      <c r="C14" s="5">
        <f t="shared" si="8"/>
        <v>99363.633867980025</v>
      </c>
      <c r="D14" s="51">
        <f t="shared" si="5"/>
        <v>31.448590119223809</v>
      </c>
      <c r="E14" s="54">
        <f t="shared" si="1"/>
        <v>0.99501372254462528</v>
      </c>
      <c r="F14" s="55">
        <f t="shared" si="6"/>
        <v>98868.179220540012</v>
      </c>
      <c r="G14" s="56">
        <f t="shared" si="2"/>
        <v>7070539.3576028449</v>
      </c>
      <c r="H14" s="57">
        <f t="shared" si="2"/>
        <v>269581358.95826727</v>
      </c>
      <c r="I14" s="55">
        <f t="shared" si="7"/>
        <v>31.276140652982512</v>
      </c>
      <c r="J14" s="56">
        <f t="shared" si="3"/>
        <v>95334.676293202341</v>
      </c>
      <c r="K14" s="57">
        <f t="shared" si="3"/>
        <v>6935816.0397826293</v>
      </c>
    </row>
    <row r="15" spans="1:14" x14ac:dyDescent="0.15">
      <c r="A15" s="1">
        <f t="shared" si="4"/>
        <v>11</v>
      </c>
      <c r="B15" s="20">
        <v>3.6699999999999998E-4</v>
      </c>
      <c r="C15" s="5">
        <f t="shared" si="8"/>
        <v>99332.185277860801</v>
      </c>
      <c r="D15" s="51">
        <f t="shared" si="5"/>
        <v>36.454911996974261</v>
      </c>
      <c r="E15" s="54">
        <f t="shared" si="1"/>
        <v>0.9945164643124691</v>
      </c>
      <c r="F15" s="55">
        <f t="shared" si="6"/>
        <v>98787.49369496922</v>
      </c>
      <c r="G15" s="56">
        <f t="shared" si="2"/>
        <v>6971671.1783823045</v>
      </c>
      <c r="H15" s="57">
        <f t="shared" si="2"/>
        <v>262510819.60066441</v>
      </c>
      <c r="I15" s="55">
        <f t="shared" si="7"/>
        <v>36.236891740182955</v>
      </c>
      <c r="J15" s="56">
        <f t="shared" si="3"/>
        <v>95303.400152549366</v>
      </c>
      <c r="K15" s="57">
        <f t="shared" si="3"/>
        <v>6840481.3634894267</v>
      </c>
    </row>
    <row r="16" spans="1:14" x14ac:dyDescent="0.15">
      <c r="A16" s="1">
        <f t="shared" si="4"/>
        <v>12</v>
      </c>
      <c r="B16" s="20">
        <v>4.1389999999999998E-4</v>
      </c>
      <c r="C16" s="5">
        <f t="shared" si="8"/>
        <v>99295.730365863827</v>
      </c>
      <c r="D16" s="51">
        <f t="shared" si="5"/>
        <v>41.098502798427944</v>
      </c>
      <c r="E16" s="54">
        <f t="shared" si="1"/>
        <v>0.99401945458517638</v>
      </c>
      <c r="F16" s="55">
        <f t="shared" si="6"/>
        <v>98701.887740912702</v>
      </c>
      <c r="G16" s="56">
        <f t="shared" si="2"/>
        <v>6872883.684687335</v>
      </c>
      <c r="H16" s="57">
        <f t="shared" si="2"/>
        <v>255539148.4222821</v>
      </c>
      <c r="I16" s="55">
        <f t="shared" si="7"/>
        <v>40.832295188366516</v>
      </c>
      <c r="J16" s="56">
        <f t="shared" si="3"/>
        <v>95267.16326080919</v>
      </c>
      <c r="K16" s="57">
        <f t="shared" si="3"/>
        <v>6745177.9633368775</v>
      </c>
      <c r="M16" t="s">
        <v>33</v>
      </c>
      <c r="N16">
        <f>100000*(J32-J57)/(G32-G47)</f>
        <v>225.4930761549862</v>
      </c>
    </row>
    <row r="17" spans="1:13" x14ac:dyDescent="0.15">
      <c r="A17" s="1">
        <f t="shared" si="4"/>
        <v>13</v>
      </c>
      <c r="B17" s="20">
        <v>4.5160000000000003E-4</v>
      </c>
      <c r="C17" s="5">
        <f t="shared" si="8"/>
        <v>99254.631863065399</v>
      </c>
      <c r="D17" s="51">
        <f t="shared" si="5"/>
        <v>44.823391749363509</v>
      </c>
      <c r="E17" s="54">
        <f t="shared" si="1"/>
        <v>0.99352269323855724</v>
      </c>
      <c r="F17" s="55">
        <f t="shared" si="6"/>
        <v>98611.729164994249</v>
      </c>
      <c r="G17" s="56">
        <f t="shared" si="2"/>
        <v>6774181.7969464222</v>
      </c>
      <c r="H17" s="57">
        <f t="shared" si="2"/>
        <v>248666264.73759475</v>
      </c>
      <c r="I17" s="55">
        <f t="shared" si="7"/>
        <v>44.510801490169484</v>
      </c>
      <c r="J17" s="56">
        <f t="shared" si="3"/>
        <v>95226.330965620829</v>
      </c>
      <c r="K17" s="57">
        <f t="shared" si="3"/>
        <v>6649910.8000760684</v>
      </c>
    </row>
    <row r="18" spans="1:13" x14ac:dyDescent="0.15">
      <c r="A18" s="1">
        <f t="shared" si="4"/>
        <v>14</v>
      </c>
      <c r="B18" s="20">
        <v>5.2999999999999998E-4</v>
      </c>
      <c r="C18" s="5">
        <f t="shared" si="8"/>
        <v>99209.808471316035</v>
      </c>
      <c r="D18" s="51">
        <f t="shared" si="5"/>
        <v>52.581198489802773</v>
      </c>
      <c r="E18" s="54">
        <f t="shared" si="1"/>
        <v>0.99302618014848321</v>
      </c>
      <c r="F18" s="55">
        <f t="shared" si="6"/>
        <v>98517.937139533591</v>
      </c>
      <c r="G18" s="56">
        <f t="shared" si="2"/>
        <v>6675570.0677814279</v>
      </c>
      <c r="H18" s="57">
        <f t="shared" si="2"/>
        <v>241892082.94064832</v>
      </c>
      <c r="I18" s="55">
        <f t="shared" si="7"/>
        <v>52.188412477719169</v>
      </c>
      <c r="J18" s="56">
        <f t="shared" si="3"/>
        <v>95181.820164130666</v>
      </c>
      <c r="K18" s="57">
        <f t="shared" si="3"/>
        <v>6554684.4691104479</v>
      </c>
      <c r="M18" t="s">
        <v>34</v>
      </c>
    </row>
    <row r="19" spans="1:13" x14ac:dyDescent="0.15">
      <c r="A19" s="1">
        <f t="shared" si="4"/>
        <v>15</v>
      </c>
      <c r="B19" s="20">
        <v>7.3479999999999997E-4</v>
      </c>
      <c r="C19" s="5">
        <f t="shared" si="8"/>
        <v>99157.227272826232</v>
      </c>
      <c r="D19" s="51">
        <f t="shared" si="5"/>
        <v>72.860730600077659</v>
      </c>
      <c r="E19" s="54">
        <f t="shared" si="1"/>
        <v>0.99252991519088751</v>
      </c>
      <c r="F19" s="55">
        <f t="shared" si="6"/>
        <v>98416.514375661776</v>
      </c>
      <c r="G19" s="56">
        <f t="shared" si="2"/>
        <v>6577052.1306418944</v>
      </c>
      <c r="H19" s="57">
        <f t="shared" si="2"/>
        <v>235216512.8728669</v>
      </c>
      <c r="I19" s="55">
        <f t="shared" si="7"/>
        <v>72.280314605938216</v>
      </c>
      <c r="J19" s="56">
        <f t="shared" si="3"/>
        <v>95129.631751652953</v>
      </c>
      <c r="K19" s="57">
        <f t="shared" si="3"/>
        <v>6459502.6489463169</v>
      </c>
    </row>
    <row r="20" spans="1:13" x14ac:dyDescent="0.15">
      <c r="A20" s="1">
        <f t="shared" si="4"/>
        <v>16</v>
      </c>
      <c r="B20" s="20">
        <v>9.9149999999999998E-4</v>
      </c>
      <c r="C20" s="5">
        <f t="shared" si="8"/>
        <v>99084.366542226155</v>
      </c>
      <c r="D20" s="51">
        <f t="shared" si="5"/>
        <v>98.242149426616379</v>
      </c>
      <c r="E20" s="54">
        <f t="shared" si="1"/>
        <v>0.99203389824176669</v>
      </c>
      <c r="F20" s="55">
        <f t="shared" si="6"/>
        <v>98295.050395700688</v>
      </c>
      <c r="G20" s="56">
        <f t="shared" si="2"/>
        <v>6478635.6162662329</v>
      </c>
      <c r="H20" s="57">
        <f t="shared" si="2"/>
        <v>228639460.74222499</v>
      </c>
      <c r="I20" s="55">
        <f t="shared" si="7"/>
        <v>97.410837048812013</v>
      </c>
      <c r="J20" s="56">
        <f t="shared" si="3"/>
        <v>95057.351437047007</v>
      </c>
      <c r="K20" s="57">
        <f t="shared" si="3"/>
        <v>6364373.0171946641</v>
      </c>
    </row>
    <row r="21" spans="1:13" x14ac:dyDescent="0.15">
      <c r="A21" s="1">
        <f t="shared" si="4"/>
        <v>17</v>
      </c>
      <c r="B21" s="20">
        <v>1.1118E-3</v>
      </c>
      <c r="C21" s="5">
        <f t="shared" si="8"/>
        <v>98986.124392799538</v>
      </c>
      <c r="D21" s="51">
        <f t="shared" si="5"/>
        <v>110.05277309991652</v>
      </c>
      <c r="E21" s="54">
        <f t="shared" si="1"/>
        <v>0.99153812917717832</v>
      </c>
      <c r="F21" s="55">
        <f t="shared" si="6"/>
        <v>98148.516594935907</v>
      </c>
      <c r="G21" s="56">
        <f t="shared" si="2"/>
        <v>6380340.5658705318</v>
      </c>
      <c r="H21" s="57">
        <f t="shared" si="2"/>
        <v>222160825.12595877</v>
      </c>
      <c r="I21" s="55">
        <f t="shared" si="7"/>
        <v>109.06698725662341</v>
      </c>
      <c r="J21" s="56">
        <f t="shared" si="3"/>
        <v>94959.940599998197</v>
      </c>
      <c r="K21" s="57">
        <f t="shared" si="3"/>
        <v>6269315.665757617</v>
      </c>
    </row>
    <row r="22" spans="1:13" x14ac:dyDescent="0.15">
      <c r="A22" s="1">
        <f t="shared" si="4"/>
        <v>18</v>
      </c>
      <c r="B22" s="20">
        <v>1.0447E-3</v>
      </c>
      <c r="C22" s="5">
        <f t="shared" si="8"/>
        <v>98876.071619699622</v>
      </c>
      <c r="D22" s="51">
        <f t="shared" si="5"/>
        <v>103.29583202110371</v>
      </c>
      <c r="E22" s="54">
        <f t="shared" si="1"/>
        <v>0.99104260787324161</v>
      </c>
      <c r="F22" s="55">
        <f t="shared" si="6"/>
        <v>97990.399874248527</v>
      </c>
      <c r="G22" s="56">
        <f t="shared" si="2"/>
        <v>6282192.0492755957</v>
      </c>
      <c r="H22" s="57">
        <f t="shared" si="2"/>
        <v>215780484.56008825</v>
      </c>
      <c r="I22" s="55">
        <f t="shared" si="7"/>
        <v>102.31941104310935</v>
      </c>
      <c r="J22" s="56">
        <f t="shared" si="3"/>
        <v>94850.873612741576</v>
      </c>
      <c r="K22" s="57">
        <f t="shared" si="3"/>
        <v>6174355.7251576185</v>
      </c>
    </row>
    <row r="23" spans="1:13" x14ac:dyDescent="0.15">
      <c r="A23" s="1">
        <f t="shared" si="4"/>
        <v>19</v>
      </c>
      <c r="B23" s="20">
        <v>9.3899999999999995E-4</v>
      </c>
      <c r="C23" s="5">
        <f t="shared" si="8"/>
        <v>98772.775787678518</v>
      </c>
      <c r="D23" s="51">
        <f t="shared" si="5"/>
        <v>92.747636464628158</v>
      </c>
      <c r="E23" s="54">
        <f t="shared" si="1"/>
        <v>0.9905473342061385</v>
      </c>
      <c r="F23" s="55">
        <f t="shared" si="6"/>
        <v>97839.109748625575</v>
      </c>
      <c r="G23" s="56">
        <f t="shared" si="2"/>
        <v>6184201.6494013472</v>
      </c>
      <c r="H23" s="57">
        <f t="shared" si="2"/>
        <v>209498292.51081264</v>
      </c>
      <c r="I23" s="55">
        <f t="shared" si="7"/>
        <v>91.825011548183369</v>
      </c>
      <c r="J23" s="56">
        <f t="shared" si="3"/>
        <v>94748.554201698469</v>
      </c>
      <c r="K23" s="57">
        <f t="shared" si="3"/>
        <v>6079504.8515448766</v>
      </c>
    </row>
    <row r="24" spans="1:13" x14ac:dyDescent="0.15">
      <c r="A24" s="1">
        <f t="shared" si="4"/>
        <v>20</v>
      </c>
      <c r="B24" s="20">
        <v>8.5329999999999998E-4</v>
      </c>
      <c r="C24" s="5">
        <f t="shared" si="8"/>
        <v>98680.02815121389</v>
      </c>
      <c r="D24" s="51">
        <f t="shared" si="5"/>
        <v>84.203668021422345</v>
      </c>
      <c r="E24" s="54">
        <f t="shared" si="1"/>
        <v>0.99005230805211242</v>
      </c>
      <c r="F24" s="55">
        <f t="shared" si="6"/>
        <v>97698.389629756741</v>
      </c>
      <c r="G24" s="56">
        <f t="shared" si="2"/>
        <v>6086362.539652722</v>
      </c>
      <c r="H24" s="57">
        <f t="shared" si="2"/>
        <v>203314090.8614113</v>
      </c>
      <c r="I24" s="55">
        <f t="shared" si="7"/>
        <v>83.324373684220944</v>
      </c>
      <c r="J24" s="56">
        <f t="shared" si="3"/>
        <v>94656.72919015029</v>
      </c>
      <c r="K24" s="57">
        <f t="shared" si="3"/>
        <v>5984756.2973431777</v>
      </c>
    </row>
    <row r="25" spans="1:13" x14ac:dyDescent="0.15">
      <c r="A25" s="1">
        <f t="shared" si="4"/>
        <v>21</v>
      </c>
      <c r="B25" s="20">
        <v>7.7749999999999998E-4</v>
      </c>
      <c r="C25" s="5">
        <f t="shared" si="8"/>
        <v>98595.824483192468</v>
      </c>
      <c r="D25" s="51">
        <f t="shared" si="5"/>
        <v>76.658253535686526</v>
      </c>
      <c r="E25" s="54">
        <f t="shared" si="1"/>
        <v>0.98955752928746887</v>
      </c>
      <c r="F25" s="55">
        <f t="shared" si="6"/>
        <v>97566.240473648868</v>
      </c>
      <c r="G25" s="56">
        <f t="shared" si="2"/>
        <v>5988664.1500229649</v>
      </c>
      <c r="H25" s="57">
        <f t="shared" si="2"/>
        <v>197227728.32175857</v>
      </c>
      <c r="I25" s="55">
        <f t="shared" si="7"/>
        <v>75.819842047242716</v>
      </c>
      <c r="J25" s="56">
        <f t="shared" si="3"/>
        <v>94573.404816466063</v>
      </c>
      <c r="K25" s="57">
        <f t="shared" si="3"/>
        <v>5890099.5681530274</v>
      </c>
    </row>
    <row r="26" spans="1:13" x14ac:dyDescent="0.15">
      <c r="A26" s="1">
        <f t="shared" si="4"/>
        <v>22</v>
      </c>
      <c r="B26" s="20">
        <v>7.1400000000000001E-4</v>
      </c>
      <c r="C26" s="5">
        <f t="shared" si="8"/>
        <v>98519.166229656781</v>
      </c>
      <c r="D26" s="51">
        <f t="shared" si="5"/>
        <v>70.342684687973815</v>
      </c>
      <c r="E26" s="54">
        <f t="shared" si="1"/>
        <v>0.98906299778857465</v>
      </c>
      <c r="F26" s="55">
        <f t="shared" si="6"/>
        <v>97441.661890735239</v>
      </c>
      <c r="G26" s="56">
        <f t="shared" si="2"/>
        <v>5891097.9095493164</v>
      </c>
      <c r="H26" s="57">
        <f t="shared" si="2"/>
        <v>191239064.17173561</v>
      </c>
      <c r="I26" s="55">
        <f t="shared" si="7"/>
        <v>69.538577301333163</v>
      </c>
      <c r="J26" s="56">
        <f t="shared" si="3"/>
        <v>94497.584974418816</v>
      </c>
      <c r="K26" s="57">
        <f t="shared" si="3"/>
        <v>5795526.1633365611</v>
      </c>
    </row>
    <row r="27" spans="1:13" x14ac:dyDescent="0.15">
      <c r="A27" s="1">
        <f t="shared" si="4"/>
        <v>23</v>
      </c>
      <c r="B27" s="20">
        <v>6.6799999999999997E-4</v>
      </c>
      <c r="C27" s="5">
        <f t="shared" si="8"/>
        <v>98448.823544968807</v>
      </c>
      <c r="D27" s="51">
        <f t="shared" si="5"/>
        <v>65.763814128033118</v>
      </c>
      <c r="E27" s="54">
        <f t="shared" si="1"/>
        <v>0.98856871343185848</v>
      </c>
      <c r="F27" s="55">
        <f t="shared" si="6"/>
        <v>97323.426830729877</v>
      </c>
      <c r="G27" s="56">
        <f t="shared" si="2"/>
        <v>5793656.2476585815</v>
      </c>
      <c r="H27" s="57">
        <f t="shared" si="2"/>
        <v>185347966.26218629</v>
      </c>
      <c r="I27" s="55">
        <f t="shared" si="7"/>
        <v>64.97955934324996</v>
      </c>
      <c r="J27" s="56">
        <f t="shared" si="3"/>
        <v>94428.046397117476</v>
      </c>
      <c r="K27" s="57">
        <f t="shared" si="3"/>
        <v>5701028.5783621427</v>
      </c>
    </row>
    <row r="28" spans="1:13" x14ac:dyDescent="0.15">
      <c r="A28" s="1">
        <f t="shared" si="4"/>
        <v>24</v>
      </c>
      <c r="B28" s="20">
        <v>6.3330000000000005E-4</v>
      </c>
      <c r="C28" s="5">
        <f t="shared" si="8"/>
        <v>98383.059730840774</v>
      </c>
      <c r="D28" s="51">
        <f t="shared" si="5"/>
        <v>62.30599172753864</v>
      </c>
      <c r="E28" s="54">
        <f t="shared" si="1"/>
        <v>0.98807467609381172</v>
      </c>
      <c r="F28" s="55">
        <f t="shared" si="6"/>
        <v>97209.809876668631</v>
      </c>
      <c r="G28" s="56">
        <f t="shared" si="2"/>
        <v>5696332.820827852</v>
      </c>
      <c r="H28" s="57">
        <f t="shared" si="2"/>
        <v>179554310.01452771</v>
      </c>
      <c r="I28" s="55">
        <f t="shared" si="7"/>
        <v>61.532206491645638</v>
      </c>
      <c r="J28" s="56">
        <f t="shared" si="3"/>
        <v>94363.066837774226</v>
      </c>
      <c r="K28" s="57">
        <f t="shared" si="3"/>
        <v>5606600.5319650248</v>
      </c>
    </row>
    <row r="29" spans="1:13" x14ac:dyDescent="0.15">
      <c r="A29" s="1">
        <f t="shared" si="4"/>
        <v>25</v>
      </c>
      <c r="B29" s="20">
        <v>6.1320000000000005E-4</v>
      </c>
      <c r="C29" s="5">
        <f t="shared" si="8"/>
        <v>98320.753739113235</v>
      </c>
      <c r="D29" s="51">
        <f t="shared" si="5"/>
        <v>60.290286192815984</v>
      </c>
      <c r="E29" s="54">
        <f t="shared" si="1"/>
        <v>0.98758088565098634</v>
      </c>
      <c r="F29" s="55">
        <f t="shared" si="6"/>
        <v>97099.69705554597</v>
      </c>
      <c r="G29" s="56">
        <f t="shared" si="2"/>
        <v>5599123.0109511837</v>
      </c>
      <c r="H29" s="57">
        <f t="shared" si="2"/>
        <v>173857977.19369987</v>
      </c>
      <c r="I29" s="55">
        <f t="shared" si="7"/>
        <v>59.511778345280007</v>
      </c>
      <c r="J29" s="56">
        <f t="shared" si="3"/>
        <v>94301.534631282586</v>
      </c>
      <c r="K29" s="57">
        <f t="shared" si="3"/>
        <v>5512237.4651272502</v>
      </c>
      <c r="M29">
        <f>1000*(G47)/(G32-G47)</f>
        <v>2688.5428789749544</v>
      </c>
    </row>
    <row r="30" spans="1:13" x14ac:dyDescent="0.15">
      <c r="A30" s="1">
        <f t="shared" si="4"/>
        <v>26</v>
      </c>
      <c r="B30" s="20">
        <v>6.0470000000000001E-4</v>
      </c>
      <c r="C30" s="5">
        <f t="shared" si="8"/>
        <v>98260.46345292042</v>
      </c>
      <c r="D30" s="51">
        <f t="shared" si="5"/>
        <v>59.418102249983349</v>
      </c>
      <c r="E30" s="54">
        <f t="shared" si="1"/>
        <v>0.98708734197999637</v>
      </c>
      <c r="F30" s="55">
        <f t="shared" si="6"/>
        <v>96991.659691465786</v>
      </c>
      <c r="G30" s="56">
        <f t="shared" si="2"/>
        <v>5502023.3138956381</v>
      </c>
      <c r="H30" s="57">
        <f t="shared" si="2"/>
        <v>168258854.18274868</v>
      </c>
      <c r="I30" s="55">
        <f t="shared" si="7"/>
        <v>58.621545842510443</v>
      </c>
      <c r="J30" s="56">
        <f t="shared" si="3"/>
        <v>94242.022852937313</v>
      </c>
      <c r="K30" s="57">
        <f t="shared" si="3"/>
        <v>5417935.9304959672</v>
      </c>
    </row>
    <row r="31" spans="1:13" x14ac:dyDescent="0.15">
      <c r="A31" s="1">
        <f t="shared" si="4"/>
        <v>27</v>
      </c>
      <c r="B31" s="20">
        <v>6.0559999999999998E-4</v>
      </c>
      <c r="C31" s="5">
        <f t="shared" si="8"/>
        <v>98201.045350670436</v>
      </c>
      <c r="D31" s="51">
        <f t="shared" si="5"/>
        <v>59.470553064369597</v>
      </c>
      <c r="E31" s="54">
        <f t="shared" si="1"/>
        <v>0.98659404495751746</v>
      </c>
      <c r="F31" s="55">
        <f t="shared" si="6"/>
        <v>96884.566551574564</v>
      </c>
      <c r="G31" s="56">
        <f t="shared" si="2"/>
        <v>5405031.6542041721</v>
      </c>
      <c r="H31" s="57">
        <f t="shared" si="2"/>
        <v>162756830.86885303</v>
      </c>
      <c r="I31" s="55">
        <f t="shared" si="7"/>
        <v>58.64397151787815</v>
      </c>
      <c r="J31" s="56">
        <f t="shared" si="3"/>
        <v>94183.401307094799</v>
      </c>
      <c r="K31" s="57">
        <f t="shared" si="3"/>
        <v>5323693.9076430295</v>
      </c>
    </row>
    <row r="32" spans="1:13" s="76" customFormat="1" x14ac:dyDescent="0.15">
      <c r="A32" s="68">
        <f t="shared" si="4"/>
        <v>28</v>
      </c>
      <c r="B32" s="69">
        <v>6.1479999999999998E-4</v>
      </c>
      <c r="C32" s="70">
        <f t="shared" si="8"/>
        <v>98141.574797606067</v>
      </c>
      <c r="D32" s="71">
        <f t="shared" si="5"/>
        <v>60.337440185568994</v>
      </c>
      <c r="E32" s="72">
        <f t="shared" si="1"/>
        <v>0.98610099446028743</v>
      </c>
      <c r="F32" s="73">
        <f t="shared" si="6"/>
        <v>96777.504505818026</v>
      </c>
      <c r="G32" s="74">
        <f t="shared" si="2"/>
        <v>5308147.0876525976</v>
      </c>
      <c r="H32" s="75">
        <f t="shared" si="2"/>
        <v>157351799.21464887</v>
      </c>
      <c r="I32" s="73">
        <f t="shared" si="7"/>
        <v>59.469075232561408</v>
      </c>
      <c r="J32" s="74">
        <f t="shared" si="3"/>
        <v>94124.757335576927</v>
      </c>
      <c r="K32" s="75">
        <f t="shared" si="3"/>
        <v>5229510.5063359346</v>
      </c>
    </row>
    <row r="33" spans="1:11" x14ac:dyDescent="0.15">
      <c r="A33" s="1">
        <f t="shared" si="4"/>
        <v>29</v>
      </c>
      <c r="B33" s="20">
        <v>6.311E-4</v>
      </c>
      <c r="C33" s="5">
        <f t="shared" si="8"/>
        <v>98081.237357420498</v>
      </c>
      <c r="D33" s="51">
        <f t="shared" si="5"/>
        <v>61.899068896265817</v>
      </c>
      <c r="E33" s="54">
        <f t="shared" si="1"/>
        <v>0.98560819036510483</v>
      </c>
      <c r="F33" s="55">
        <f t="shared" si="6"/>
        <v>96669.670860617538</v>
      </c>
      <c r="G33" s="56">
        <f t="shared" si="2"/>
        <v>5211369.5831467798</v>
      </c>
      <c r="H33" s="57">
        <f t="shared" si="2"/>
        <v>152043652.12699628</v>
      </c>
      <c r="I33" s="55">
        <f t="shared" si="7"/>
        <v>60.97774040992855</v>
      </c>
      <c r="J33" s="56">
        <f t="shared" si="3"/>
        <v>94065.288260344372</v>
      </c>
      <c r="K33" s="57">
        <f t="shared" si="3"/>
        <v>5135385.7490003575</v>
      </c>
    </row>
    <row r="34" spans="1:11" x14ac:dyDescent="0.15">
      <c r="A34" s="1">
        <f t="shared" si="4"/>
        <v>30</v>
      </c>
      <c r="B34" s="20">
        <v>6.5300000000000004E-4</v>
      </c>
      <c r="C34" s="5">
        <f t="shared" si="8"/>
        <v>98019.338288524232</v>
      </c>
      <c r="D34" s="51">
        <f t="shared" si="5"/>
        <v>64.006627902403125</v>
      </c>
      <c r="E34" s="54">
        <f t="shared" si="1"/>
        <v>0.98511563254883072</v>
      </c>
      <c r="F34" s="55">
        <f t="shared" si="6"/>
        <v>96560.382440117377</v>
      </c>
      <c r="G34" s="56">
        <f t="shared" si="2"/>
        <v>5114699.9122861624</v>
      </c>
      <c r="H34" s="57">
        <f t="shared" si="2"/>
        <v>146832282.5438495</v>
      </c>
      <c r="I34" s="55">
        <f t="shared" si="7"/>
        <v>63.02241852413141</v>
      </c>
      <c r="J34" s="56">
        <f t="shared" si="3"/>
        <v>94004.310519934443</v>
      </c>
      <c r="K34" s="57">
        <f t="shared" si="3"/>
        <v>5041320.460740013</v>
      </c>
    </row>
    <row r="35" spans="1:11" x14ac:dyDescent="0.15">
      <c r="A35" s="1">
        <f t="shared" si="4"/>
        <v>31</v>
      </c>
      <c r="B35" s="20">
        <v>6.7920000000000003E-4</v>
      </c>
      <c r="C35" s="5">
        <f t="shared" si="8"/>
        <v>97955.331660621829</v>
      </c>
      <c r="D35" s="51">
        <f t="shared" si="5"/>
        <v>66.531261263895431</v>
      </c>
      <c r="E35" s="54">
        <f t="shared" si="1"/>
        <v>0.98462332088838622</v>
      </c>
      <c r="F35" s="55">
        <f t="shared" si="6"/>
        <v>96449.103958404739</v>
      </c>
      <c r="G35" s="56">
        <f t="shared" si="2"/>
        <v>5018139.5298460452</v>
      </c>
      <c r="H35" s="57">
        <f t="shared" si="2"/>
        <v>141717582.63156334</v>
      </c>
      <c r="I35" s="55">
        <f t="shared" si="7"/>
        <v>65.47549366171873</v>
      </c>
      <c r="J35" s="56">
        <f t="shared" si="3"/>
        <v>93941.288101410304</v>
      </c>
      <c r="K35" s="57">
        <f t="shared" si="3"/>
        <v>4947316.1502200784</v>
      </c>
    </row>
    <row r="36" spans="1:11" x14ac:dyDescent="0.15">
      <c r="A36" s="1">
        <f t="shared" si="4"/>
        <v>32</v>
      </c>
      <c r="B36" s="20">
        <v>7.0870000000000004E-4</v>
      </c>
      <c r="C36" s="5">
        <f t="shared" si="8"/>
        <v>97888.800399357933</v>
      </c>
      <c r="D36" s="51">
        <f t="shared" si="5"/>
        <v>69.373792843020055</v>
      </c>
      <c r="E36" s="54">
        <f t="shared" si="1"/>
        <v>0.98413125526075607</v>
      </c>
      <c r="F36" s="55">
        <f t="shared" si="6"/>
        <v>96335.428012989723</v>
      </c>
      <c r="G36" s="56">
        <f t="shared" si="2"/>
        <v>4921690.4258876406</v>
      </c>
      <c r="H36" s="57">
        <f t="shared" si="2"/>
        <v>136699443.10171729</v>
      </c>
      <c r="I36" s="55">
        <f t="shared" si="7"/>
        <v>68.238798433584194</v>
      </c>
      <c r="J36" s="56">
        <f t="shared" si="3"/>
        <v>93875.812607748579</v>
      </c>
      <c r="K36" s="57">
        <f t="shared" si="3"/>
        <v>4853374.8621186679</v>
      </c>
    </row>
    <row r="37" spans="1:11" x14ac:dyDescent="0.15">
      <c r="A37" s="1">
        <f t="shared" si="4"/>
        <v>33</v>
      </c>
      <c r="B37" s="20">
        <v>7.4129999999999997E-4</v>
      </c>
      <c r="C37" s="5">
        <f t="shared" si="8"/>
        <v>97819.426606514913</v>
      </c>
      <c r="D37" s="51">
        <f t="shared" si="5"/>
        <v>72.513540943400585</v>
      </c>
      <c r="E37" s="54">
        <f t="shared" si="1"/>
        <v>0.98363943554298461</v>
      </c>
      <c r="F37" s="55">
        <f t="shared" si="6"/>
        <v>96219.045572370742</v>
      </c>
      <c r="G37" s="56">
        <f t="shared" si="2"/>
        <v>4825354.9978746511</v>
      </c>
      <c r="H37" s="57">
        <f t="shared" si="2"/>
        <v>131777752.67582965</v>
      </c>
      <c r="I37" s="55">
        <f t="shared" si="7"/>
        <v>71.291532716431448</v>
      </c>
      <c r="J37" s="56">
        <f t="shared" si="3"/>
        <v>93807.573809314999</v>
      </c>
      <c r="K37" s="57">
        <f t="shared" si="3"/>
        <v>4759499.0495109195</v>
      </c>
    </row>
    <row r="38" spans="1:11" x14ac:dyDescent="0.15">
      <c r="A38" s="1">
        <f t="shared" si="4"/>
        <v>34</v>
      </c>
      <c r="B38" s="20">
        <v>7.7800000000000005E-4</v>
      </c>
      <c r="C38" s="5">
        <f t="shared" si="8"/>
        <v>97746.913065571513</v>
      </c>
      <c r="D38" s="51">
        <f t="shared" si="5"/>
        <v>76.0470983650157</v>
      </c>
      <c r="E38" s="54">
        <f t="shared" si="1"/>
        <v>0.98314786161217871</v>
      </c>
      <c r="F38" s="55">
        <f t="shared" si="6"/>
        <v>96099.668559608166</v>
      </c>
      <c r="G38" s="56">
        <f t="shared" si="2"/>
        <v>4729135.9523022808</v>
      </c>
      <c r="H38" s="57">
        <f t="shared" si="2"/>
        <v>126952397.677955</v>
      </c>
      <c r="I38" s="55">
        <f t="shared" si="7"/>
        <v>74.728178050351019</v>
      </c>
      <c r="J38" s="56">
        <f t="shared" si="3"/>
        <v>93736.282276598562</v>
      </c>
      <c r="K38" s="57">
        <f t="shared" si="3"/>
        <v>4665691.475701604</v>
      </c>
    </row>
    <row r="39" spans="1:11" x14ac:dyDescent="0.15">
      <c r="A39" s="1">
        <f t="shared" si="4"/>
        <v>35</v>
      </c>
      <c r="B39" s="20">
        <v>8.183E-4</v>
      </c>
      <c r="C39" s="5">
        <f t="shared" si="8"/>
        <v>97670.865967206497</v>
      </c>
      <c r="D39" s="51">
        <f t="shared" si="5"/>
        <v>79.924069620974478</v>
      </c>
      <c r="E39" s="54">
        <f t="shared" si="1"/>
        <v>0.98265653334550584</v>
      </c>
      <c r="F39" s="55">
        <f t="shared" si="6"/>
        <v>95976.914560188685</v>
      </c>
      <c r="G39" s="56">
        <f t="shared" si="2"/>
        <v>4633036.2837426728</v>
      </c>
      <c r="H39" s="57">
        <f t="shared" si="2"/>
        <v>122223261.72565272</v>
      </c>
      <c r="I39" s="55">
        <f t="shared" si="7"/>
        <v>78.498659854684291</v>
      </c>
      <c r="J39" s="56">
        <f t="shared" si="3"/>
        <v>93661.554098548208</v>
      </c>
      <c r="K39" s="57">
        <f t="shared" si="3"/>
        <v>4571955.1934250053</v>
      </c>
    </row>
    <row r="40" spans="1:11" x14ac:dyDescent="0.15">
      <c r="A40" s="1">
        <f t="shared" si="4"/>
        <v>36</v>
      </c>
      <c r="B40" s="20">
        <v>8.6260000000000004E-4</v>
      </c>
      <c r="C40" s="5">
        <f t="shared" si="8"/>
        <v>97590.941897585522</v>
      </c>
      <c r="D40" s="51">
        <f t="shared" si="5"/>
        <v>84.181946480865008</v>
      </c>
      <c r="E40" s="54">
        <f t="shared" si="1"/>
        <v>0.98216545062019567</v>
      </c>
      <c r="F40" s="55">
        <f t="shared" si="6"/>
        <v>95850.451425291423</v>
      </c>
      <c r="G40" s="56">
        <f t="shared" si="2"/>
        <v>4537059.3691824842</v>
      </c>
      <c r="H40" s="57">
        <f t="shared" si="2"/>
        <v>117590225.44191006</v>
      </c>
      <c r="I40" s="55">
        <f t="shared" si="7"/>
        <v>82.639279759584184</v>
      </c>
      <c r="J40" s="56">
        <f t="shared" si="3"/>
        <v>93583.055438693526</v>
      </c>
      <c r="K40" s="57">
        <f t="shared" si="3"/>
        <v>4478293.6393264569</v>
      </c>
    </row>
    <row r="41" spans="1:11" x14ac:dyDescent="0.15">
      <c r="A41" s="1">
        <f t="shared" si="4"/>
        <v>37</v>
      </c>
      <c r="B41" s="20">
        <v>9.1989999999999997E-4</v>
      </c>
      <c r="C41" s="5">
        <f t="shared" si="8"/>
        <v>97506.759951104657</v>
      </c>
      <c r="D41" s="51">
        <f t="shared" si="5"/>
        <v>89.696468479014584</v>
      </c>
      <c r="E41" s="54">
        <f t="shared" si="1"/>
        <v>0.98167461331353889</v>
      </c>
      <c r="F41" s="55">
        <f t="shared" si="6"/>
        <v>95719.910870456719</v>
      </c>
      <c r="G41" s="56">
        <f t="shared" si="2"/>
        <v>4441208.9177571926</v>
      </c>
      <c r="H41" s="57">
        <f t="shared" si="2"/>
        <v>113053166.07272758</v>
      </c>
      <c r="I41" s="55">
        <f t="shared" si="7"/>
        <v>88.008741638907239</v>
      </c>
      <c r="J41" s="56">
        <f t="shared" si="3"/>
        <v>93500.416158933935</v>
      </c>
      <c r="K41" s="57">
        <f t="shared" si="3"/>
        <v>4384710.5838877633</v>
      </c>
    </row>
    <row r="42" spans="1:11" x14ac:dyDescent="0.15">
      <c r="A42" s="1">
        <f t="shared" si="4"/>
        <v>38</v>
      </c>
      <c r="B42" s="20">
        <v>9.8409999999999991E-4</v>
      </c>
      <c r="C42" s="5">
        <f t="shared" si="8"/>
        <v>97417.063482625643</v>
      </c>
      <c r="D42" s="51">
        <f t="shared" si="5"/>
        <v>95.868132173258346</v>
      </c>
      <c r="E42" s="54">
        <f t="shared" si="1"/>
        <v>0.98118402130288762</v>
      </c>
      <c r="F42" s="55">
        <f t="shared" si="6"/>
        <v>95584.066091401313</v>
      </c>
      <c r="G42" s="56">
        <f t="shared" si="2"/>
        <v>4345489.0068867356</v>
      </c>
      <c r="H42" s="57">
        <f t="shared" si="2"/>
        <v>108611957.15497038</v>
      </c>
      <c r="I42" s="55">
        <f t="shared" si="7"/>
        <v>94.017270805151782</v>
      </c>
      <c r="J42" s="56">
        <f t="shared" si="3"/>
        <v>93412.40741729502</v>
      </c>
      <c r="K42" s="57">
        <f t="shared" si="3"/>
        <v>4291210.1677288292</v>
      </c>
    </row>
    <row r="43" spans="1:11" x14ac:dyDescent="0.15">
      <c r="A43" s="1">
        <f t="shared" si="4"/>
        <v>39</v>
      </c>
      <c r="B43" s="20">
        <v>1.0554E-3</v>
      </c>
      <c r="C43" s="5">
        <f t="shared" si="8"/>
        <v>97321.195350452384</v>
      </c>
      <c r="D43" s="51">
        <f t="shared" si="5"/>
        <v>102.71278957287723</v>
      </c>
      <c r="E43" s="54">
        <f t="shared" si="1"/>
        <v>0.9806936744656547</v>
      </c>
      <c r="F43" s="55">
        <f t="shared" si="6"/>
        <v>95442.280671624932</v>
      </c>
      <c r="G43" s="56">
        <f t="shared" si="2"/>
        <v>4249904.9407953341</v>
      </c>
      <c r="H43" s="57">
        <f t="shared" si="2"/>
        <v>104266468.14808364</v>
      </c>
      <c r="I43" s="55">
        <f t="shared" si="7"/>
        <v>100.67944329919298</v>
      </c>
      <c r="J43" s="56">
        <f t="shared" si="3"/>
        <v>93318.390146489866</v>
      </c>
      <c r="K43" s="57">
        <f t="shared" si="3"/>
        <v>4197797.7603115346</v>
      </c>
    </row>
    <row r="44" spans="1:11" x14ac:dyDescent="0.15">
      <c r="A44" s="1">
        <f t="shared" si="4"/>
        <v>40</v>
      </c>
      <c r="B44" s="20">
        <v>1.1356999999999999E-3</v>
      </c>
      <c r="C44" s="5">
        <f t="shared" si="8"/>
        <v>97218.482560879507</v>
      </c>
      <c r="D44" s="51">
        <f t="shared" si="5"/>
        <v>110.41103064439085</v>
      </c>
      <c r="E44" s="54">
        <f t="shared" si="1"/>
        <v>0.98020357267931524</v>
      </c>
      <c r="F44" s="55">
        <f t="shared" si="6"/>
        <v>95293.90393663579</v>
      </c>
      <c r="G44" s="56">
        <f t="shared" si="2"/>
        <v>4154462.6601237087</v>
      </c>
      <c r="H44" s="57">
        <f t="shared" si="2"/>
        <v>100016563.20728831</v>
      </c>
      <c r="I44" s="55">
        <f t="shared" si="7"/>
        <v>108.17120110028711</v>
      </c>
      <c r="J44" s="56">
        <f t="shared" si="3"/>
        <v>93217.710703190678</v>
      </c>
      <c r="K44" s="57">
        <f t="shared" si="3"/>
        <v>4104479.3701650444</v>
      </c>
    </row>
    <row r="45" spans="1:11" x14ac:dyDescent="0.15">
      <c r="A45" s="1">
        <f t="shared" si="4"/>
        <v>41</v>
      </c>
      <c r="B45" s="20">
        <v>1.225E-3</v>
      </c>
      <c r="C45" s="5">
        <f t="shared" si="8"/>
        <v>97108.071530235116</v>
      </c>
      <c r="D45" s="51">
        <f t="shared" si="5"/>
        <v>118.9573876245413</v>
      </c>
      <c r="E45" s="54">
        <f t="shared" si="1"/>
        <v>0.97971371582140443</v>
      </c>
      <c r="F45" s="55">
        <f t="shared" si="6"/>
        <v>95138.109595137386</v>
      </c>
      <c r="G45" s="56">
        <f t="shared" si="2"/>
        <v>4059168.756187073</v>
      </c>
      <c r="H45" s="57">
        <f t="shared" si="2"/>
        <v>95862100.547164604</v>
      </c>
      <c r="I45" s="55">
        <f t="shared" si="7"/>
        <v>116.48594128340481</v>
      </c>
      <c r="J45" s="56">
        <f t="shared" si="3"/>
        <v>93109.539502090396</v>
      </c>
      <c r="K45" s="57">
        <f t="shared" si="3"/>
        <v>4011261.6594618536</v>
      </c>
    </row>
    <row r="46" spans="1:11" x14ac:dyDescent="0.15">
      <c r="A46" s="1">
        <f t="shared" si="4"/>
        <v>42</v>
      </c>
      <c r="B46" s="20">
        <v>1.3235E-3</v>
      </c>
      <c r="C46" s="5">
        <f t="shared" si="8"/>
        <v>96989.114142610575</v>
      </c>
      <c r="D46" s="51">
        <f t="shared" si="5"/>
        <v>128.36509256775025</v>
      </c>
      <c r="E46" s="54">
        <f t="shared" si="1"/>
        <v>0.97922410376951974</v>
      </c>
      <c r="F46" s="55">
        <f t="shared" si="6"/>
        <v>94974.078371697498</v>
      </c>
      <c r="G46" s="56">
        <f t="shared" si="2"/>
        <v>3964030.6465919358</v>
      </c>
      <c r="H46" s="57">
        <f t="shared" si="2"/>
        <v>91802931.790977538</v>
      </c>
      <c r="I46" s="55">
        <f t="shared" si="7"/>
        <v>125.63537503742798</v>
      </c>
      <c r="J46" s="56">
        <f t="shared" si="3"/>
        <v>92993.053560806991</v>
      </c>
      <c r="K46" s="57">
        <f t="shared" si="3"/>
        <v>3918152.1199597633</v>
      </c>
    </row>
    <row r="47" spans="1:11" s="76" customFormat="1" x14ac:dyDescent="0.15">
      <c r="A47" s="68">
        <f t="shared" si="4"/>
        <v>43</v>
      </c>
      <c r="B47" s="69">
        <v>1.4321E-3</v>
      </c>
      <c r="C47" s="70">
        <f t="shared" si="8"/>
        <v>96860.749050042825</v>
      </c>
      <c r="D47" s="71">
        <f t="shared" si="5"/>
        <v>138.71427871457126</v>
      </c>
      <c r="E47" s="72">
        <f t="shared" si="1"/>
        <v>0.97873473640131914</v>
      </c>
      <c r="F47" s="73">
        <f t="shared" si="6"/>
        <v>94800.979689127984</v>
      </c>
      <c r="G47" s="74">
        <f t="shared" si="2"/>
        <v>3869056.5682202382</v>
      </c>
      <c r="H47" s="75">
        <f t="shared" si="2"/>
        <v>87838901.144385606</v>
      </c>
      <c r="I47" s="73">
        <f t="shared" si="7"/>
        <v>135.69663469545728</v>
      </c>
      <c r="J47" s="74">
        <f t="shared" si="3"/>
        <v>92867.418185769566</v>
      </c>
      <c r="K47" s="75">
        <f t="shared" si="3"/>
        <v>3825159.0663989563</v>
      </c>
    </row>
    <row r="48" spans="1:11" x14ac:dyDescent="0.15">
      <c r="A48" s="1">
        <f t="shared" si="4"/>
        <v>44</v>
      </c>
      <c r="B48" s="20">
        <v>1.5532E-3</v>
      </c>
      <c r="C48" s="5">
        <f t="shared" si="8"/>
        <v>96722.034771328254</v>
      </c>
      <c r="D48" s="51">
        <f t="shared" si="5"/>
        <v>150.2286644068372</v>
      </c>
      <c r="E48" s="54">
        <f t="shared" si="1"/>
        <v>0.97824561359452178</v>
      </c>
      <c r="F48" s="55">
        <f t="shared" si="6"/>
        <v>94617.906252988672</v>
      </c>
      <c r="G48" s="56">
        <f t="shared" si="2"/>
        <v>3774255.5885311104</v>
      </c>
      <c r="H48" s="57">
        <f t="shared" si="2"/>
        <v>83969844.576165363</v>
      </c>
      <c r="I48" s="55">
        <f t="shared" si="7"/>
        <v>146.88708844792799</v>
      </c>
      <c r="J48" s="56">
        <f t="shared" si="3"/>
        <v>92731.721551074108</v>
      </c>
      <c r="K48" s="57">
        <f t="shared" si="3"/>
        <v>3732291.6482131868</v>
      </c>
    </row>
    <row r="49" spans="1:11" x14ac:dyDescent="0.15">
      <c r="A49" s="1">
        <f t="shared" si="4"/>
        <v>45</v>
      </c>
      <c r="B49" s="20">
        <v>1.6872E-3</v>
      </c>
      <c r="C49" s="5">
        <f t="shared" si="8"/>
        <v>96571.806106921416</v>
      </c>
      <c r="D49" s="51">
        <f t="shared" si="5"/>
        <v>162.93595126360015</v>
      </c>
      <c r="E49" s="54">
        <f t="shared" si="1"/>
        <v>0.97775673522690842</v>
      </c>
      <c r="F49" s="55">
        <f t="shared" si="6"/>
        <v>94423.733854069505</v>
      </c>
      <c r="G49" s="56">
        <f t="shared" si="2"/>
        <v>3679637.6822781218</v>
      </c>
      <c r="H49" s="57">
        <f t="shared" si="2"/>
        <v>80195588.987634256</v>
      </c>
      <c r="I49" s="55">
        <f t="shared" si="7"/>
        <v>159.23210770473602</v>
      </c>
      <c r="J49" s="56">
        <f t="shared" si="3"/>
        <v>92584.834462626182</v>
      </c>
      <c r="K49" s="57">
        <f t="shared" si="3"/>
        <v>3639559.9266621126</v>
      </c>
    </row>
    <row r="50" spans="1:11" x14ac:dyDescent="0.15">
      <c r="A50" s="1">
        <f t="shared" si="4"/>
        <v>46</v>
      </c>
      <c r="B50" s="20">
        <v>1.8320999999999999E-3</v>
      </c>
      <c r="C50" s="5">
        <f t="shared" si="8"/>
        <v>96408.870155657816</v>
      </c>
      <c r="D50" s="51">
        <f t="shared" si="5"/>
        <v>176.63069101217843</v>
      </c>
      <c r="E50" s="54">
        <f t="shared" si="1"/>
        <v>0.97726810117632057</v>
      </c>
      <c r="F50" s="55">
        <f t="shared" si="6"/>
        <v>94217.313473574162</v>
      </c>
      <c r="G50" s="56">
        <f t="shared" si="2"/>
        <v>3585213.9484240524</v>
      </c>
      <c r="H50" s="57">
        <f t="shared" si="2"/>
        <v>76515951.30535613</v>
      </c>
      <c r="I50" s="55">
        <f t="shared" si="7"/>
        <v>172.52927537724432</v>
      </c>
      <c r="J50" s="56">
        <f t="shared" si="3"/>
        <v>92425.602354921444</v>
      </c>
      <c r="K50" s="57">
        <f t="shared" si="3"/>
        <v>3546975.0921994862</v>
      </c>
    </row>
    <row r="51" spans="1:11" x14ac:dyDescent="0.15">
      <c r="A51" s="1">
        <f t="shared" si="4"/>
        <v>47</v>
      </c>
      <c r="B51" s="20">
        <v>1.9884E-3</v>
      </c>
      <c r="C51" s="5">
        <f t="shared" si="8"/>
        <v>96232.239464645638</v>
      </c>
      <c r="D51" s="51">
        <f t="shared" si="5"/>
        <v>191.3481849515083</v>
      </c>
      <c r="E51" s="54">
        <f t="shared" si="1"/>
        <v>0.97677971132065988</v>
      </c>
      <c r="F51" s="55">
        <f t="shared" si="6"/>
        <v>93997.699084017178</v>
      </c>
      <c r="G51" s="56">
        <f t="shared" si="2"/>
        <v>3490996.6349504781</v>
      </c>
      <c r="H51" s="57">
        <f t="shared" si="2"/>
        <v>72930737.356932074</v>
      </c>
      <c r="I51" s="55">
        <f t="shared" si="7"/>
        <v>186.81161904914197</v>
      </c>
      <c r="J51" s="56">
        <f t="shared" si="3"/>
        <v>92253.073079544207</v>
      </c>
      <c r="K51" s="57">
        <f t="shared" si="3"/>
        <v>3454549.4898445648</v>
      </c>
    </row>
    <row r="52" spans="1:11" x14ac:dyDescent="0.15">
      <c r="A52" s="1">
        <f t="shared" si="4"/>
        <v>48</v>
      </c>
      <c r="B52" s="20">
        <v>2.1576E-3</v>
      </c>
      <c r="C52" s="5">
        <f t="shared" si="8"/>
        <v>96040.891279694129</v>
      </c>
      <c r="D52" s="51">
        <f t="shared" si="5"/>
        <v>207.21782702507335</v>
      </c>
      <c r="E52" s="54">
        <f t="shared" si="1"/>
        <v>0.97629156553789109</v>
      </c>
      <c r="F52" s="55">
        <f t="shared" si="6"/>
        <v>93763.912103106981</v>
      </c>
      <c r="G52" s="56">
        <f t="shared" si="2"/>
        <v>3396998.9358664611</v>
      </c>
      <c r="H52" s="57">
        <f t="shared" si="2"/>
        <v>69439740.7219816</v>
      </c>
      <c r="I52" s="55">
        <f t="shared" si="7"/>
        <v>202.20391479627065</v>
      </c>
      <c r="J52" s="56">
        <f t="shared" si="3"/>
        <v>92066.261460495065</v>
      </c>
      <c r="K52" s="57">
        <f t="shared" si="3"/>
        <v>3362296.4167650207</v>
      </c>
    </row>
    <row r="53" spans="1:11" x14ac:dyDescent="0.15">
      <c r="A53" s="1">
        <f t="shared" si="4"/>
        <v>49</v>
      </c>
      <c r="B53" s="20">
        <v>2.3406999999999998E-3</v>
      </c>
      <c r="C53" s="5">
        <f t="shared" si="8"/>
        <v>95833.673452669056</v>
      </c>
      <c r="D53" s="51">
        <f t="shared" si="5"/>
        <v>224.31787945065298</v>
      </c>
      <c r="E53" s="54">
        <f t="shared" si="1"/>
        <v>0.9758036637060381</v>
      </c>
      <c r="F53" s="55">
        <f t="shared" si="6"/>
        <v>93514.849661522545</v>
      </c>
      <c r="G53" s="56">
        <f t="shared" si="2"/>
        <v>3303235.0237633539</v>
      </c>
      <c r="H53" s="57">
        <f t="shared" si="2"/>
        <v>66042741.78611514</v>
      </c>
      <c r="I53" s="55">
        <f t="shared" si="7"/>
        <v>218.78081819361978</v>
      </c>
      <c r="J53" s="56">
        <f t="shared" si="3"/>
        <v>91864.057545698801</v>
      </c>
      <c r="K53" s="57">
        <f t="shared" si="3"/>
        <v>3270230.1553045255</v>
      </c>
    </row>
    <row r="54" spans="1:11" x14ac:dyDescent="0.15">
      <c r="A54" s="1">
        <f t="shared" si="4"/>
        <v>50</v>
      </c>
      <c r="B54" s="20">
        <v>2.5366E-3</v>
      </c>
      <c r="C54" s="5">
        <f t="shared" si="8"/>
        <v>95609.355573218403</v>
      </c>
      <c r="D54" s="51">
        <f t="shared" si="5"/>
        <v>242.5226913470251</v>
      </c>
      <c r="E54" s="54">
        <f t="shared" si="1"/>
        <v>0.97531600570318655</v>
      </c>
      <c r="F54" s="55">
        <f t="shared" si="6"/>
        <v>93249.334785527069</v>
      </c>
      <c r="G54" s="56">
        <f t="shared" si="2"/>
        <v>3209720.1741018314</v>
      </c>
      <c r="H54" s="57">
        <f t="shared" si="2"/>
        <v>62739506.762351789</v>
      </c>
      <c r="I54" s="55">
        <f t="shared" si="7"/>
        <v>236.41805359017218</v>
      </c>
      <c r="J54" s="56">
        <f t="shared" si="3"/>
        <v>91645.276727505188</v>
      </c>
      <c r="K54" s="57">
        <f t="shared" si="3"/>
        <v>3178366.0977588268</v>
      </c>
    </row>
    <row r="55" spans="1:11" x14ac:dyDescent="0.15">
      <c r="A55" s="1">
        <f t="shared" si="4"/>
        <v>51</v>
      </c>
      <c r="B55" s="20">
        <v>2.7428999999999999E-3</v>
      </c>
      <c r="C55" s="5">
        <f t="shared" si="8"/>
        <v>95366.832881871378</v>
      </c>
      <c r="D55" s="51">
        <f t="shared" si="5"/>
        <v>261.58168591168942</v>
      </c>
      <c r="E55" s="54">
        <f t="shared" si="1"/>
        <v>0.97482859140748268</v>
      </c>
      <c r="F55" s="55">
        <f t="shared" si="6"/>
        <v>92966.315365227478</v>
      </c>
      <c r="G55" s="56">
        <f t="shared" si="2"/>
        <v>3116470.8393163043</v>
      </c>
      <c r="H55" s="57">
        <f t="shared" si="2"/>
        <v>59529786.588249959</v>
      </c>
      <c r="I55" s="55">
        <f t="shared" si="7"/>
        <v>254.86987147954702</v>
      </c>
      <c r="J55" s="56">
        <f t="shared" si="3"/>
        <v>91408.85867391502</v>
      </c>
      <c r="K55" s="57">
        <f t="shared" si="3"/>
        <v>3086720.8210313218</v>
      </c>
    </row>
    <row r="56" spans="1:11" x14ac:dyDescent="0.15">
      <c r="A56" s="1">
        <f t="shared" si="4"/>
        <v>52</v>
      </c>
      <c r="B56" s="20">
        <v>2.9613999999999999E-3</v>
      </c>
      <c r="C56" s="5">
        <f t="shared" si="8"/>
        <v>95105.251195959689</v>
      </c>
      <c r="D56" s="51">
        <f t="shared" si="5"/>
        <v>281.64469089171325</v>
      </c>
      <c r="E56" s="54">
        <f t="shared" si="1"/>
        <v>0.97434142069713425</v>
      </c>
      <c r="F56" s="55">
        <f t="shared" si="6"/>
        <v>92664.985566029194</v>
      </c>
      <c r="G56" s="56">
        <f t="shared" si="2"/>
        <v>3023504.5239510769</v>
      </c>
      <c r="H56" s="57">
        <f t="shared" si="2"/>
        <v>56413315.748933658</v>
      </c>
      <c r="I56" s="55">
        <f t="shared" si="7"/>
        <v>274.28094778134647</v>
      </c>
      <c r="J56" s="56">
        <f t="shared" si="3"/>
        <v>91153.988802435473</v>
      </c>
      <c r="K56" s="57">
        <f t="shared" si="3"/>
        <v>2995311.962357407</v>
      </c>
    </row>
    <row r="57" spans="1:11" s="76" customFormat="1" x14ac:dyDescent="0.15">
      <c r="A57" s="68">
        <f t="shared" si="4"/>
        <v>53</v>
      </c>
      <c r="B57" s="69">
        <v>3.1957999999999999E-3</v>
      </c>
      <c r="C57" s="70">
        <f t="shared" si="8"/>
        <v>94823.606505067975</v>
      </c>
      <c r="D57" s="71">
        <f t="shared" si="5"/>
        <v>303.0372816688905</v>
      </c>
      <c r="E57" s="72">
        <f t="shared" si="1"/>
        <v>0.97385449345040909</v>
      </c>
      <c r="F57" s="73">
        <f t="shared" si="6"/>
        <v>92344.395280133889</v>
      </c>
      <c r="G57" s="74">
        <f t="shared" si="2"/>
        <v>2930839.5383850476</v>
      </c>
      <c r="H57" s="75">
        <f t="shared" si="2"/>
        <v>53389811.224982582</v>
      </c>
      <c r="I57" s="73">
        <f t="shared" si="7"/>
        <v>294.96673506871196</v>
      </c>
      <c r="J57" s="74">
        <f t="shared" si="3"/>
        <v>90879.707854654131</v>
      </c>
      <c r="K57" s="75">
        <f t="shared" si="3"/>
        <v>2904157.9735549716</v>
      </c>
    </row>
    <row r="58" spans="1:11" x14ac:dyDescent="0.15">
      <c r="A58" s="1">
        <f t="shared" si="4"/>
        <v>54</v>
      </c>
      <c r="B58" s="20">
        <v>3.4478999999999998E-3</v>
      </c>
      <c r="C58" s="5">
        <f t="shared" si="8"/>
        <v>94520.569223399085</v>
      </c>
      <c r="D58" s="51">
        <f t="shared" si="5"/>
        <v>325.89747062535025</v>
      </c>
      <c r="E58" s="54">
        <f t="shared" si="1"/>
        <v>0.9733678095456364</v>
      </c>
      <c r="F58" s="55">
        <f t="shared" si="6"/>
        <v>92003.279421986663</v>
      </c>
      <c r="G58" s="56">
        <f t="shared" si="2"/>
        <v>2838495.1431049136</v>
      </c>
      <c r="H58" s="57">
        <f t="shared" si="2"/>
        <v>50458971.686597534</v>
      </c>
      <c r="I58" s="55">
        <f t="shared" si="7"/>
        <v>317.05957733039531</v>
      </c>
      <c r="J58" s="56">
        <f t="shared" si="3"/>
        <v>90584.741119585422</v>
      </c>
      <c r="K58" s="57">
        <f t="shared" si="3"/>
        <v>2813278.2657003175</v>
      </c>
    </row>
    <row r="59" spans="1:11" x14ac:dyDescent="0.15">
      <c r="A59" s="1">
        <f t="shared" si="4"/>
        <v>55</v>
      </c>
      <c r="B59" s="20">
        <v>3.7190000000000001E-3</v>
      </c>
      <c r="C59" s="5">
        <f t="shared" si="8"/>
        <v>94194.671752773735</v>
      </c>
      <c r="D59" s="51">
        <f t="shared" si="5"/>
        <v>350.30998424856807</v>
      </c>
      <c r="E59" s="54">
        <f t="shared" si="1"/>
        <v>0.97288136886120558</v>
      </c>
      <c r="F59" s="55">
        <f t="shared" si="6"/>
        <v>91640.241194270449</v>
      </c>
      <c r="G59" s="56">
        <f t="shared" si="2"/>
        <v>2746491.8636829271</v>
      </c>
      <c r="H59" s="57">
        <f t="shared" si="2"/>
        <v>47620476.543492623</v>
      </c>
      <c r="I59" s="55">
        <f t="shared" si="7"/>
        <v>340.63973713292785</v>
      </c>
      <c r="J59" s="56">
        <f t="shared" si="3"/>
        <v>90267.681542255028</v>
      </c>
      <c r="K59" s="57">
        <f t="shared" si="3"/>
        <v>2722693.524580732</v>
      </c>
    </row>
    <row r="60" spans="1:11" x14ac:dyDescent="0.15">
      <c r="A60" s="1">
        <f t="shared" si="4"/>
        <v>56</v>
      </c>
      <c r="B60" s="20">
        <v>4.0074999999999998E-3</v>
      </c>
      <c r="C60" s="5">
        <f t="shared" si="8"/>
        <v>93844.361768525167</v>
      </c>
      <c r="D60" s="51">
        <f t="shared" si="5"/>
        <v>376.08127978736593</v>
      </c>
      <c r="E60" s="54">
        <f t="shared" si="1"/>
        <v>0.97239517127556796</v>
      </c>
      <c r="F60" s="55">
        <f t="shared" si="6"/>
        <v>91253.804235151387</v>
      </c>
      <c r="G60" s="56">
        <f t="shared" si="2"/>
        <v>2654851.6224886565</v>
      </c>
      <c r="H60" s="57">
        <f t="shared" si="2"/>
        <v>44873984.679809697</v>
      </c>
      <c r="I60" s="55">
        <f t="shared" si="7"/>
        <v>365.51686204134984</v>
      </c>
      <c r="J60" s="56">
        <f t="shared" si="3"/>
        <v>89927.041805122106</v>
      </c>
      <c r="K60" s="57">
        <f t="shared" si="3"/>
        <v>2632425.843038477</v>
      </c>
    </row>
    <row r="61" spans="1:11" x14ac:dyDescent="0.15">
      <c r="A61" s="1">
        <f t="shared" si="4"/>
        <v>57</v>
      </c>
      <c r="B61" s="20">
        <v>4.3134000000000002E-3</v>
      </c>
      <c r="C61" s="5">
        <f t="shared" si="8"/>
        <v>93468.280488737801</v>
      </c>
      <c r="D61" s="51">
        <f t="shared" si="5"/>
        <v>403.16608106011699</v>
      </c>
      <c r="E61" s="54">
        <f t="shared" si="1"/>
        <v>0.9719092166672344</v>
      </c>
      <c r="F61" s="55">
        <f t="shared" si="6"/>
        <v>90842.683273042509</v>
      </c>
      <c r="G61" s="56">
        <f t="shared" si="2"/>
        <v>2563597.818253505</v>
      </c>
      <c r="H61" s="57">
        <f t="shared" si="2"/>
        <v>42219133.057321042</v>
      </c>
      <c r="I61" s="55">
        <f t="shared" si="7"/>
        <v>391.64500752617391</v>
      </c>
      <c r="J61" s="56">
        <f t="shared" si="3"/>
        <v>89561.52494308076</v>
      </c>
      <c r="K61" s="57">
        <f t="shared" si="3"/>
        <v>2542498.801233355</v>
      </c>
    </row>
    <row r="62" spans="1:11" x14ac:dyDescent="0.15">
      <c r="A62" s="1">
        <f t="shared" si="4"/>
        <v>58</v>
      </c>
      <c r="B62" s="20">
        <v>4.6427999999999999E-3</v>
      </c>
      <c r="C62" s="5">
        <f t="shared" si="8"/>
        <v>93065.114407677684</v>
      </c>
      <c r="D62" s="51">
        <f t="shared" si="5"/>
        <v>432.08271317195613</v>
      </c>
      <c r="E62" s="54">
        <f t="shared" si="1"/>
        <v>0.97142350491477691</v>
      </c>
      <c r="F62" s="55">
        <f t="shared" si="6"/>
        <v>90405.639623200957</v>
      </c>
      <c r="G62" s="56">
        <f t="shared" si="2"/>
        <v>2472755.1349804625</v>
      </c>
      <c r="H62" s="57">
        <f t="shared" si="2"/>
        <v>39655535.23906754</v>
      </c>
      <c r="I62" s="55">
        <f t="shared" si="7"/>
        <v>419.52554087215185</v>
      </c>
      <c r="J62" s="56">
        <f t="shared" si="3"/>
        <v>89169.879935554593</v>
      </c>
      <c r="K62" s="57">
        <f t="shared" si="3"/>
        <v>2452937.2762902742</v>
      </c>
    </row>
    <row r="63" spans="1:11" x14ac:dyDescent="0.15">
      <c r="A63" s="1">
        <f t="shared" si="4"/>
        <v>59</v>
      </c>
      <c r="B63" s="20">
        <v>5.0068999999999999E-3</v>
      </c>
      <c r="C63" s="5">
        <f t="shared" si="8"/>
        <v>92633.031694505728</v>
      </c>
      <c r="D63" s="51">
        <f t="shared" si="5"/>
        <v>463.80432639122591</v>
      </c>
      <c r="E63" s="54">
        <f t="shared" si="1"/>
        <v>0.97093803589682859</v>
      </c>
      <c r="F63" s="55">
        <f t="shared" si="6"/>
        <v>89940.933852632064</v>
      </c>
      <c r="G63" s="56">
        <f t="shared" si="2"/>
        <v>2382349.4953572615</v>
      </c>
      <c r="H63" s="57">
        <f t="shared" si="2"/>
        <v>37182780.104087077</v>
      </c>
      <c r="I63" s="55">
        <f t="shared" si="7"/>
        <v>450.10021160094811</v>
      </c>
      <c r="J63" s="56">
        <f t="shared" si="3"/>
        <v>88750.354394682436</v>
      </c>
      <c r="K63" s="57">
        <f t="shared" si="3"/>
        <v>2363767.3963547195</v>
      </c>
    </row>
    <row r="64" spans="1:11" x14ac:dyDescent="0.15">
      <c r="A64" s="1">
        <f t="shared" si="4"/>
        <v>60</v>
      </c>
      <c r="B64" s="20">
        <v>5.4153999999999999E-3</v>
      </c>
      <c r="C64" s="5">
        <f t="shared" si="8"/>
        <v>92169.227368114502</v>
      </c>
      <c r="D64" s="51">
        <f t="shared" si="5"/>
        <v>499.13323388928256</v>
      </c>
      <c r="E64" s="54">
        <f t="shared" si="1"/>
        <v>0.97045280949208268</v>
      </c>
      <c r="F64" s="55">
        <f t="shared" si="6"/>
        <v>89445.885648101277</v>
      </c>
      <c r="G64" s="56">
        <f t="shared" si="2"/>
        <v>2292408.5615046294</v>
      </c>
      <c r="H64" s="57">
        <f t="shared" si="2"/>
        <v>34800430.608729817</v>
      </c>
      <c r="I64" s="55">
        <f t="shared" si="7"/>
        <v>484.14317754994806</v>
      </c>
      <c r="J64" s="56">
        <f t="shared" si="3"/>
        <v>88300.254183081488</v>
      </c>
      <c r="K64" s="57">
        <f t="shared" si="3"/>
        <v>2275017.0419600373</v>
      </c>
    </row>
    <row r="65" spans="1:11" x14ac:dyDescent="0.15">
      <c r="A65" s="1">
        <f t="shared" si="4"/>
        <v>61</v>
      </c>
      <c r="B65" s="20">
        <v>5.8240999999999996E-3</v>
      </c>
      <c r="C65" s="5">
        <f t="shared" si="8"/>
        <v>91670.094134225219</v>
      </c>
      <c r="D65" s="51">
        <f t="shared" si="5"/>
        <v>533.89579524713918</v>
      </c>
      <c r="E65" s="54">
        <f t="shared" si="1"/>
        <v>0.96996782557929295</v>
      </c>
      <c r="F65" s="55">
        <f t="shared" si="6"/>
        <v>88917.041878023534</v>
      </c>
      <c r="G65" s="56">
        <f t="shared" si="2"/>
        <v>2202962.6758565283</v>
      </c>
      <c r="H65" s="57">
        <f t="shared" si="2"/>
        <v>32508022.047225188</v>
      </c>
      <c r="I65" s="55">
        <f t="shared" si="7"/>
        <v>517.60294213072973</v>
      </c>
      <c r="J65" s="56">
        <f t="shared" si="3"/>
        <v>87816.111005531537</v>
      </c>
      <c r="K65" s="57">
        <f t="shared" si="3"/>
        <v>2186716.7877769559</v>
      </c>
    </row>
    <row r="66" spans="1:11" x14ac:dyDescent="0.15">
      <c r="A66" s="1">
        <f t="shared" si="4"/>
        <v>62</v>
      </c>
      <c r="B66" s="20">
        <v>6.1992000000000002E-3</v>
      </c>
      <c r="C66" s="5">
        <f t="shared" si="8"/>
        <v>91136.19833897808</v>
      </c>
      <c r="D66" s="51">
        <f t="shared" si="5"/>
        <v>564.97152074298356</v>
      </c>
      <c r="E66" s="54">
        <f t="shared" si="1"/>
        <v>0.96948308403727457</v>
      </c>
      <c r="F66" s="55">
        <f t="shared" si="6"/>
        <v>88355.002633105207</v>
      </c>
      <c r="G66" s="56">
        <f t="shared" si="2"/>
        <v>2114045.6339785047</v>
      </c>
      <c r="H66" s="57">
        <f t="shared" si="2"/>
        <v>30305059.371368662</v>
      </c>
      <c r="I66" s="55">
        <f t="shared" si="7"/>
        <v>547.45660402112605</v>
      </c>
      <c r="J66" s="56">
        <f t="shared" si="3"/>
        <v>87298.508063400805</v>
      </c>
      <c r="K66" s="57">
        <f t="shared" si="3"/>
        <v>2098900.6767714242</v>
      </c>
    </row>
    <row r="67" spans="1:11" x14ac:dyDescent="0.15">
      <c r="A67" s="1">
        <f t="shared" si="4"/>
        <v>63</v>
      </c>
      <c r="B67" s="20">
        <v>6.5926999999999999E-3</v>
      </c>
      <c r="C67" s="5">
        <f t="shared" si="8"/>
        <v>90571.226818235096</v>
      </c>
      <c r="D67" s="51">
        <f t="shared" si="5"/>
        <v>597.10892704458092</v>
      </c>
      <c r="E67" s="54">
        <f t="shared" si="1"/>
        <v>0.96899858474490186</v>
      </c>
      <c r="F67" s="55">
        <f t="shared" si="6"/>
        <v>87763.390605479304</v>
      </c>
      <c r="G67" s="56">
        <f t="shared" si="2"/>
        <v>2025690.6313453997</v>
      </c>
      <c r="H67" s="57">
        <f t="shared" si="2"/>
        <v>28191013.737390157</v>
      </c>
      <c r="I67" s="55">
        <f t="shared" si="7"/>
        <v>578.3085509692612</v>
      </c>
      <c r="J67" s="56">
        <f t="shared" si="3"/>
        <v>86751.051459379683</v>
      </c>
      <c r="K67" s="57">
        <f t="shared" si="3"/>
        <v>2011602.1687080236</v>
      </c>
    </row>
    <row r="68" spans="1:11" x14ac:dyDescent="0.15">
      <c r="A68" s="1">
        <f t="shared" si="4"/>
        <v>64</v>
      </c>
      <c r="B68" s="20">
        <v>7.0049999999999999E-3</v>
      </c>
      <c r="C68" s="5">
        <f t="shared" si="8"/>
        <v>89974.117891190515</v>
      </c>
      <c r="D68" s="51">
        <f t="shared" si="5"/>
        <v>630.26869582779182</v>
      </c>
      <c r="E68" s="54">
        <f t="shared" ref="E68:E131" si="9">(1+$D$1)^(-$A68)</f>
        <v>0.96851432758111144</v>
      </c>
      <c r="F68" s="55">
        <f t="shared" si="6"/>
        <v>87141.22228909003</v>
      </c>
      <c r="G68" s="56">
        <f t="shared" ref="G68:H129" si="10">G69+F68</f>
        <v>1937927.2407399204</v>
      </c>
      <c r="H68" s="57">
        <f t="shared" si="10"/>
        <v>26165323.106044758</v>
      </c>
      <c r="I68" s="55">
        <f t="shared" si="7"/>
        <v>610.11920253381095</v>
      </c>
      <c r="J68" s="56">
        <f t="shared" ref="J68:K129" si="11">J69+I68</f>
        <v>86172.742908410422</v>
      </c>
      <c r="K68" s="57">
        <f t="shared" si="11"/>
        <v>1924851.1172486439</v>
      </c>
    </row>
    <row r="69" spans="1:11" x14ac:dyDescent="0.15">
      <c r="A69" s="1">
        <f t="shared" ref="A69:A131" si="12">1+A68</f>
        <v>65</v>
      </c>
      <c r="B69" s="20">
        <v>7.4467999999999999E-3</v>
      </c>
      <c r="C69" s="5">
        <f t="shared" si="8"/>
        <v>89343.849195362724</v>
      </c>
      <c r="D69" s="51">
        <f t="shared" ref="D69:D130" si="13">C69-C70</f>
        <v>665.32577618802316</v>
      </c>
      <c r="E69" s="54">
        <f t="shared" si="9"/>
        <v>0.96803031242489901</v>
      </c>
      <c r="F69" s="55">
        <f t="shared" ref="F69:F131" si="14">C69*E69</f>
        <v>86487.554249830035</v>
      </c>
      <c r="G69" s="56">
        <f t="shared" si="10"/>
        <v>1850786.0184508304</v>
      </c>
      <c r="H69" s="57">
        <f t="shared" si="10"/>
        <v>24227395.865304839</v>
      </c>
      <c r="I69" s="55">
        <f t="shared" ref="I69:I130" si="15">D69*E70</f>
        <v>643.7336521615498</v>
      </c>
      <c r="J69" s="56">
        <f t="shared" si="11"/>
        <v>85562.623705876613</v>
      </c>
      <c r="K69" s="57">
        <f t="shared" si="11"/>
        <v>1838678.3743402334</v>
      </c>
    </row>
    <row r="70" spans="1:11" x14ac:dyDescent="0.15">
      <c r="A70" s="1">
        <f t="shared" si="12"/>
        <v>66</v>
      </c>
      <c r="B70" s="20">
        <v>7.9698000000000008E-3</v>
      </c>
      <c r="C70" s="5">
        <f t="shared" ref="C70:C131" si="16">+C69*(1-$B69)</f>
        <v>88678.5234191747</v>
      </c>
      <c r="D70" s="51">
        <f t="shared" si="13"/>
        <v>706.75009594614676</v>
      </c>
      <c r="E70" s="54">
        <f t="shared" si="9"/>
        <v>0.96754653915532141</v>
      </c>
      <c r="F70" s="55">
        <f t="shared" si="14"/>
        <v>85800.598431626597</v>
      </c>
      <c r="G70" s="56">
        <f t="shared" si="10"/>
        <v>1764298.4642010003</v>
      </c>
      <c r="H70" s="57">
        <f t="shared" si="10"/>
        <v>22376609.846854009</v>
      </c>
      <c r="I70" s="55">
        <f t="shared" si="15"/>
        <v>683.47187344366387</v>
      </c>
      <c r="J70" s="56">
        <f t="shared" si="11"/>
        <v>84918.890053715062</v>
      </c>
      <c r="K70" s="57">
        <f t="shared" si="11"/>
        <v>1753115.7506343569</v>
      </c>
    </row>
    <row r="71" spans="1:11" x14ac:dyDescent="0.15">
      <c r="A71" s="1">
        <f t="shared" si="12"/>
        <v>67</v>
      </c>
      <c r="B71" s="20">
        <v>8.6350000000000003E-3</v>
      </c>
      <c r="C71" s="5">
        <f t="shared" si="16"/>
        <v>87971.773323228554</v>
      </c>
      <c r="D71" s="51">
        <f t="shared" si="13"/>
        <v>759.63626264607592</v>
      </c>
      <c r="E71" s="54">
        <f t="shared" si="9"/>
        <v>0.96706300765149578</v>
      </c>
      <c r="F71" s="55">
        <f t="shared" si="14"/>
        <v>85074.247698397026</v>
      </c>
      <c r="G71" s="56">
        <f t="shared" si="10"/>
        <v>1678497.8657693737</v>
      </c>
      <c r="H71" s="57">
        <f t="shared" si="10"/>
        <v>20612311.382653009</v>
      </c>
      <c r="I71" s="55">
        <f t="shared" si="15"/>
        <v>734.24900437346901</v>
      </c>
      <c r="J71" s="56">
        <f t="shared" si="11"/>
        <v>84235.418180271401</v>
      </c>
      <c r="K71" s="57">
        <f t="shared" si="11"/>
        <v>1668196.8605806418</v>
      </c>
    </row>
    <row r="72" spans="1:11" x14ac:dyDescent="0.15">
      <c r="A72" s="1">
        <f t="shared" si="12"/>
        <v>68</v>
      </c>
      <c r="B72" s="20">
        <v>9.5023E-3</v>
      </c>
      <c r="C72" s="5">
        <f t="shared" si="16"/>
        <v>87212.137060582478</v>
      </c>
      <c r="D72" s="51">
        <f t="shared" si="13"/>
        <v>828.7158899907663</v>
      </c>
      <c r="E72" s="54">
        <f t="shared" si="9"/>
        <v>0.96657971779259944</v>
      </c>
      <c r="F72" s="55">
        <f t="shared" si="14"/>
        <v>84297.482828107313</v>
      </c>
      <c r="G72" s="56">
        <f t="shared" si="10"/>
        <v>1593423.6180709768</v>
      </c>
      <c r="H72" s="57">
        <f t="shared" si="10"/>
        <v>18933813.516883634</v>
      </c>
      <c r="I72" s="55">
        <f t="shared" si="15"/>
        <v>800.61966124689434</v>
      </c>
      <c r="J72" s="56">
        <f t="shared" si="11"/>
        <v>83501.169175897929</v>
      </c>
      <c r="K72" s="57">
        <f t="shared" si="11"/>
        <v>1583961.4424003703</v>
      </c>
    </row>
    <row r="73" spans="1:11" x14ac:dyDescent="0.15">
      <c r="A73" s="1">
        <f t="shared" si="12"/>
        <v>69</v>
      </c>
      <c r="B73" s="20">
        <v>1.06307E-2</v>
      </c>
      <c r="C73" s="5">
        <f t="shared" si="16"/>
        <v>86383.421170591711</v>
      </c>
      <c r="D73" s="51">
        <f t="shared" si="13"/>
        <v>918.31623543820751</v>
      </c>
      <c r="E73" s="54">
        <f t="shared" si="9"/>
        <v>0.96609666945787054</v>
      </c>
      <c r="F73" s="55">
        <f t="shared" si="14"/>
        <v>83454.735489285158</v>
      </c>
      <c r="G73" s="56">
        <f t="shared" si="10"/>
        <v>1509126.1352428694</v>
      </c>
      <c r="H73" s="57">
        <f t="shared" si="10"/>
        <v>17340389.898812659</v>
      </c>
      <c r="I73" s="55">
        <f t="shared" si="15"/>
        <v>886.73888712238079</v>
      </c>
      <c r="J73" s="56">
        <f t="shared" si="11"/>
        <v>82700.549514651037</v>
      </c>
      <c r="K73" s="57">
        <f t="shared" si="11"/>
        <v>1500460.2732244723</v>
      </c>
    </row>
    <row r="74" spans="1:11" x14ac:dyDescent="0.15">
      <c r="A74" s="1">
        <f t="shared" si="12"/>
        <v>70</v>
      </c>
      <c r="B74" s="20">
        <v>1.20778E-2</v>
      </c>
      <c r="C74" s="5">
        <f t="shared" si="16"/>
        <v>85465.104935153504</v>
      </c>
      <c r="D74" s="51">
        <f t="shared" si="13"/>
        <v>1032.2304443858011</v>
      </c>
      <c r="E74" s="54">
        <f t="shared" si="9"/>
        <v>0.96561386252660719</v>
      </c>
      <c r="F74" s="55">
        <f t="shared" si="14"/>
        <v>82526.29008767537</v>
      </c>
      <c r="G74" s="56">
        <f t="shared" si="10"/>
        <v>1425671.3997535843</v>
      </c>
      <c r="H74" s="57">
        <f t="shared" si="10"/>
        <v>15831263.763569789</v>
      </c>
      <c r="I74" s="55">
        <f t="shared" si="15"/>
        <v>996.23790746719601</v>
      </c>
      <c r="J74" s="56">
        <f t="shared" si="11"/>
        <v>81813.810627528655</v>
      </c>
      <c r="K74" s="57">
        <f t="shared" si="11"/>
        <v>1417759.7237098212</v>
      </c>
    </row>
    <row r="75" spans="1:11" x14ac:dyDescent="0.15">
      <c r="A75" s="1">
        <f t="shared" si="12"/>
        <v>71</v>
      </c>
      <c r="B75" s="20">
        <v>1.39133E-2</v>
      </c>
      <c r="C75" s="5">
        <f t="shared" si="16"/>
        <v>84432.874490767703</v>
      </c>
      <c r="D75" s="51">
        <f t="shared" si="13"/>
        <v>1174.739912652396</v>
      </c>
      <c r="E75" s="54">
        <f t="shared" si="9"/>
        <v>0.96513129687816812</v>
      </c>
      <c r="F75" s="55">
        <f t="shared" si="14"/>
        <v>81488.809656426238</v>
      </c>
      <c r="G75" s="56">
        <f t="shared" si="10"/>
        <v>1343145.1096659089</v>
      </c>
      <c r="H75" s="57">
        <f t="shared" si="10"/>
        <v>14405592.363816205</v>
      </c>
      <c r="I75" s="55">
        <f t="shared" si="15"/>
        <v>1133.2116495679691</v>
      </c>
      <c r="J75" s="56">
        <f t="shared" si="11"/>
        <v>80817.572720061464</v>
      </c>
      <c r="K75" s="57">
        <f t="shared" si="11"/>
        <v>1335945.9130822925</v>
      </c>
    </row>
    <row r="76" spans="1:11" x14ac:dyDescent="0.15">
      <c r="A76" s="1">
        <f t="shared" si="12"/>
        <v>72</v>
      </c>
      <c r="B76" s="20">
        <v>1.6100199999999999E-2</v>
      </c>
      <c r="C76" s="5">
        <f t="shared" si="16"/>
        <v>83258.134578115307</v>
      </c>
      <c r="D76" s="51">
        <f t="shared" si="13"/>
        <v>1340.4726183345774</v>
      </c>
      <c r="E76" s="54">
        <f t="shared" si="9"/>
        <v>0.96464897239197223</v>
      </c>
      <c r="F76" s="55">
        <f t="shared" si="14"/>
        <v>80314.873964051454</v>
      </c>
      <c r="G76" s="56">
        <f t="shared" si="10"/>
        <v>1261656.3000094825</v>
      </c>
      <c r="H76" s="57">
        <f t="shared" si="10"/>
        <v>13062447.254150297</v>
      </c>
      <c r="I76" s="55">
        <f t="shared" si="15"/>
        <v>1292.4393141389571</v>
      </c>
      <c r="J76" s="56">
        <f t="shared" si="11"/>
        <v>79684.361070493498</v>
      </c>
      <c r="K76" s="57">
        <f t="shared" si="11"/>
        <v>1255128.340362231</v>
      </c>
    </row>
    <row r="77" spans="1:11" x14ac:dyDescent="0.15">
      <c r="A77" s="1">
        <f t="shared" si="12"/>
        <v>73</v>
      </c>
      <c r="B77" s="20">
        <v>1.8656499999999999E-2</v>
      </c>
      <c r="C77" s="5">
        <f t="shared" si="16"/>
        <v>81917.661959780729</v>
      </c>
      <c r="D77" s="51">
        <f t="shared" si="13"/>
        <v>1528.2968603526533</v>
      </c>
      <c r="E77" s="54">
        <f t="shared" si="9"/>
        <v>0.96416688894749858</v>
      </c>
      <c r="F77" s="55">
        <f t="shared" si="14"/>
        <v>78982.297281614636</v>
      </c>
      <c r="G77" s="56">
        <f t="shared" si="10"/>
        <v>1181341.4260454311</v>
      </c>
      <c r="H77" s="57">
        <f t="shared" si="10"/>
        <v>11800790.954140814</v>
      </c>
      <c r="I77" s="55">
        <f t="shared" si="15"/>
        <v>1472.7968308190375</v>
      </c>
      <c r="J77" s="56">
        <f t="shared" si="11"/>
        <v>78391.921756354539</v>
      </c>
      <c r="K77" s="57">
        <f t="shared" si="11"/>
        <v>1175443.9792917375</v>
      </c>
    </row>
    <row r="78" spans="1:11" x14ac:dyDescent="0.15">
      <c r="A78" s="1">
        <f t="shared" si="12"/>
        <v>74</v>
      </c>
      <c r="B78" s="20">
        <v>2.1579399999999999E-2</v>
      </c>
      <c r="C78" s="5">
        <f t="shared" si="16"/>
        <v>80389.365099428076</v>
      </c>
      <c r="D78" s="51">
        <f t="shared" si="13"/>
        <v>1734.7542652265984</v>
      </c>
      <c r="E78" s="54">
        <f t="shared" si="9"/>
        <v>0.96368504642428621</v>
      </c>
      <c r="F78" s="55">
        <f t="shared" si="14"/>
        <v>77470.029037861241</v>
      </c>
      <c r="G78" s="56">
        <f t="shared" si="10"/>
        <v>1102359.1287638163</v>
      </c>
      <c r="H78" s="57">
        <f t="shared" si="10"/>
        <v>10619449.528095383</v>
      </c>
      <c r="I78" s="55">
        <f t="shared" si="15"/>
        <v>1670.9212839776344</v>
      </c>
      <c r="J78" s="56">
        <f t="shared" si="11"/>
        <v>76919.124925535507</v>
      </c>
      <c r="K78" s="57">
        <f t="shared" si="11"/>
        <v>1097052.0575353829</v>
      </c>
    </row>
    <row r="79" spans="1:11" x14ac:dyDescent="0.15">
      <c r="A79" s="1">
        <f t="shared" si="12"/>
        <v>75</v>
      </c>
      <c r="B79" s="20">
        <v>2.4866300000000001E-2</v>
      </c>
      <c r="C79" s="5">
        <f t="shared" si="16"/>
        <v>78654.610834201478</v>
      </c>
      <c r="D79" s="51">
        <f t="shared" si="13"/>
        <v>1955.8491493865004</v>
      </c>
      <c r="E79" s="54">
        <f t="shared" si="9"/>
        <v>0.96320344470193542</v>
      </c>
      <c r="F79" s="55">
        <f t="shared" si="14"/>
        <v>75760.392097193035</v>
      </c>
      <c r="G79" s="56">
        <f t="shared" si="10"/>
        <v>1024889.0997259552</v>
      </c>
      <c r="H79" s="57">
        <f t="shared" si="10"/>
        <v>9517090.3993315659</v>
      </c>
      <c r="I79" s="55">
        <f t="shared" si="15"/>
        <v>1882.9391684222162</v>
      </c>
      <c r="J79" s="56">
        <f t="shared" si="11"/>
        <v>75248.203641557877</v>
      </c>
      <c r="K79" s="57">
        <f t="shared" si="11"/>
        <v>1020132.9326098474</v>
      </c>
    </row>
    <row r="80" spans="1:11" x14ac:dyDescent="0.15">
      <c r="A80" s="1">
        <f t="shared" si="12"/>
        <v>76</v>
      </c>
      <c r="B80" s="20">
        <v>2.8515700000000001E-2</v>
      </c>
      <c r="C80" s="5">
        <f t="shared" si="16"/>
        <v>76698.761684814977</v>
      </c>
      <c r="D80" s="51">
        <f t="shared" si="13"/>
        <v>2187.1188785756822</v>
      </c>
      <c r="E80" s="54">
        <f t="shared" si="9"/>
        <v>0.96272208366010525</v>
      </c>
      <c r="F80" s="55">
        <f t="shared" si="14"/>
        <v>73839.59166335492</v>
      </c>
      <c r="G80" s="56">
        <f t="shared" si="10"/>
        <v>949128.70762876212</v>
      </c>
      <c r="H80" s="57">
        <f t="shared" si="10"/>
        <v>8492201.2996056098</v>
      </c>
      <c r="I80" s="55">
        <f t="shared" si="15"/>
        <v>2104.5353763065805</v>
      </c>
      <c r="J80" s="56">
        <f t="shared" si="11"/>
        <v>73365.264473135656</v>
      </c>
      <c r="K80" s="57">
        <f t="shared" si="11"/>
        <v>944884.72896828956</v>
      </c>
    </row>
    <row r="81" spans="1:11" x14ac:dyDescent="0.15">
      <c r="A81" s="1">
        <f t="shared" si="12"/>
        <v>77</v>
      </c>
      <c r="B81" s="20">
        <v>3.2525900000000003E-2</v>
      </c>
      <c r="C81" s="5">
        <f t="shared" si="16"/>
        <v>74511.642806239295</v>
      </c>
      <c r="D81" s="51">
        <f t="shared" si="13"/>
        <v>2423.5582427514601</v>
      </c>
      <c r="E81" s="54">
        <f t="shared" si="9"/>
        <v>0.96224096317851615</v>
      </c>
      <c r="F81" s="55">
        <f t="shared" si="14"/>
        <v>71698.154941889254</v>
      </c>
      <c r="G81" s="56">
        <f t="shared" si="10"/>
        <v>875289.11596540723</v>
      </c>
      <c r="H81" s="57">
        <f t="shared" si="10"/>
        <v>7543072.5919768484</v>
      </c>
      <c r="I81" s="55">
        <f t="shared" si="15"/>
        <v>2330.8815770358797</v>
      </c>
      <c r="J81" s="56">
        <f t="shared" si="11"/>
        <v>71260.729096829076</v>
      </c>
      <c r="K81" s="57">
        <f t="shared" si="11"/>
        <v>871519.46449515386</v>
      </c>
    </row>
    <row r="82" spans="1:11" x14ac:dyDescent="0.15">
      <c r="A82" s="1">
        <f t="shared" si="12"/>
        <v>78</v>
      </c>
      <c r="B82" s="20">
        <v>3.6895799999999999E-2</v>
      </c>
      <c r="C82" s="5">
        <f t="shared" si="16"/>
        <v>72088.084563487835</v>
      </c>
      <c r="D82" s="51">
        <f t="shared" si="13"/>
        <v>2659.7475504375325</v>
      </c>
      <c r="E82" s="54">
        <f t="shared" si="9"/>
        <v>0.96176008313694794</v>
      </c>
      <c r="F82" s="55">
        <f t="shared" si="14"/>
        <v>69331.442202963401</v>
      </c>
      <c r="G82" s="56">
        <f t="shared" si="10"/>
        <v>803590.961023518</v>
      </c>
      <c r="H82" s="57">
        <f t="shared" si="10"/>
        <v>6667783.4760114411</v>
      </c>
      <c r="I82" s="55">
        <f t="shared" si="15"/>
        <v>2556.7606449096393</v>
      </c>
      <c r="J82" s="56">
        <f t="shared" si="11"/>
        <v>68929.847519793198</v>
      </c>
      <c r="K82" s="57">
        <f t="shared" si="11"/>
        <v>800258.73539832479</v>
      </c>
    </row>
    <row r="83" spans="1:11" x14ac:dyDescent="0.15">
      <c r="A83" s="1">
        <f t="shared" si="12"/>
        <v>79</v>
      </c>
      <c r="B83" s="20">
        <v>4.1624700000000001E-2</v>
      </c>
      <c r="C83" s="5">
        <f t="shared" si="16"/>
        <v>69428.337013050303</v>
      </c>
      <c r="D83" s="51">
        <f t="shared" si="13"/>
        <v>2889.9336996671191</v>
      </c>
      <c r="E83" s="54">
        <f t="shared" si="9"/>
        <v>0.96127944341524008</v>
      </c>
      <c r="F83" s="55">
        <f t="shared" si="14"/>
        <v>66740.033161150714</v>
      </c>
      <c r="G83" s="56">
        <f t="shared" si="10"/>
        <v>734259.5188205546</v>
      </c>
      <c r="H83" s="57">
        <f t="shared" si="10"/>
        <v>5864192.5149879232</v>
      </c>
      <c r="I83" s="55">
        <f t="shared" si="15"/>
        <v>2776.6455355551761</v>
      </c>
      <c r="J83" s="56">
        <f t="shared" si="11"/>
        <v>66373.086874883564</v>
      </c>
      <c r="K83" s="57">
        <f t="shared" si="11"/>
        <v>731328.88787853159</v>
      </c>
    </row>
    <row r="84" spans="1:11" x14ac:dyDescent="0.15">
      <c r="A84" s="1">
        <f t="shared" si="12"/>
        <v>80</v>
      </c>
      <c r="B84" s="20">
        <v>4.6711599999999999E-2</v>
      </c>
      <c r="C84" s="5">
        <f t="shared" si="16"/>
        <v>66538.403313383184</v>
      </c>
      <c r="D84" s="51">
        <f t="shared" si="13"/>
        <v>3108.1152802134311</v>
      </c>
      <c r="E84" s="54">
        <f t="shared" si="9"/>
        <v>0.9607990438932934</v>
      </c>
      <c r="F84" s="55">
        <f t="shared" si="14"/>
        <v>63930.034285684909</v>
      </c>
      <c r="G84" s="56">
        <f t="shared" si="10"/>
        <v>667519.48565940384</v>
      </c>
      <c r="H84" s="57">
        <f t="shared" si="10"/>
        <v>5129932.9961673683</v>
      </c>
      <c r="I84" s="55">
        <f t="shared" si="15"/>
        <v>2984.7817986398804</v>
      </c>
      <c r="J84" s="56">
        <f t="shared" si="11"/>
        <v>63596.44133932839</v>
      </c>
      <c r="K84" s="57">
        <f t="shared" si="11"/>
        <v>664955.80100364808</v>
      </c>
    </row>
    <row r="85" spans="1:11" x14ac:dyDescent="0.15">
      <c r="A85" s="1">
        <f t="shared" si="12"/>
        <v>81</v>
      </c>
      <c r="B85" s="20">
        <v>5.2155899999999998E-2</v>
      </c>
      <c r="C85" s="5">
        <f t="shared" si="16"/>
        <v>63430.288033169752</v>
      </c>
      <c r="D85" s="51">
        <f t="shared" si="13"/>
        <v>3308.263759629197</v>
      </c>
      <c r="E85" s="54">
        <f t="shared" si="9"/>
        <v>0.96031888445106794</v>
      </c>
      <c r="F85" s="55">
        <f t="shared" si="14"/>
        <v>60913.303444423502</v>
      </c>
      <c r="G85" s="56">
        <f t="shared" si="10"/>
        <v>603589.45137371891</v>
      </c>
      <c r="H85" s="57">
        <f t="shared" si="10"/>
        <v>4462413.5105079645</v>
      </c>
      <c r="I85" s="55">
        <f t="shared" si="15"/>
        <v>3175.4004628855632</v>
      </c>
      <c r="J85" s="56">
        <f t="shared" si="11"/>
        <v>60611.65954068851</v>
      </c>
      <c r="K85" s="57">
        <f t="shared" si="11"/>
        <v>601359.35966431967</v>
      </c>
    </row>
    <row r="86" spans="1:11" x14ac:dyDescent="0.15">
      <c r="A86" s="1">
        <f t="shared" si="12"/>
        <v>82</v>
      </c>
      <c r="B86" s="20">
        <v>5.79572E-2</v>
      </c>
      <c r="C86" s="5">
        <f t="shared" si="16"/>
        <v>60122.024273540555</v>
      </c>
      <c r="D86" s="51">
        <f t="shared" si="13"/>
        <v>3484.5041852264476</v>
      </c>
      <c r="E86" s="54">
        <f t="shared" si="9"/>
        <v>0.95983896496858356</v>
      </c>
      <c r="F86" s="55">
        <f t="shared" si="14"/>
        <v>57707.461550531225</v>
      </c>
      <c r="G86" s="56">
        <f t="shared" si="10"/>
        <v>542676.14792929543</v>
      </c>
      <c r="H86" s="57">
        <f t="shared" si="10"/>
        <v>3858824.0591342454</v>
      </c>
      <c r="I86" s="55">
        <f t="shared" si="15"/>
        <v>3342.8914448540245</v>
      </c>
      <c r="J86" s="56">
        <f t="shared" si="11"/>
        <v>57436.259077802948</v>
      </c>
      <c r="K86" s="57">
        <f t="shared" si="11"/>
        <v>540747.70012363116</v>
      </c>
    </row>
    <row r="87" spans="1:11" x14ac:dyDescent="0.15">
      <c r="A87" s="1">
        <f t="shared" si="12"/>
        <v>83</v>
      </c>
      <c r="B87" s="20">
        <v>6.4115000000000005E-2</v>
      </c>
      <c r="C87" s="5">
        <f t="shared" si="16"/>
        <v>56637.520088314108</v>
      </c>
      <c r="D87" s="51">
        <f t="shared" si="13"/>
        <v>3631.3146004622613</v>
      </c>
      <c r="E87" s="54">
        <f t="shared" si="9"/>
        <v>0.95935928532592074</v>
      </c>
      <c r="F87" s="55">
        <f t="shared" si="14"/>
        <v>54335.730794557501</v>
      </c>
      <c r="G87" s="56">
        <f t="shared" si="10"/>
        <v>484968.68637876422</v>
      </c>
      <c r="H87" s="57">
        <f t="shared" si="10"/>
        <v>3316147.91120495</v>
      </c>
      <c r="I87" s="55">
        <f t="shared" si="15"/>
        <v>3481.9943827017059</v>
      </c>
      <c r="J87" s="56">
        <f t="shared" si="11"/>
        <v>54093.367632948924</v>
      </c>
      <c r="K87" s="57">
        <f t="shared" si="11"/>
        <v>483311.44104582822</v>
      </c>
    </row>
    <row r="88" spans="1:11" x14ac:dyDescent="0.15">
      <c r="A88" s="1">
        <f t="shared" si="12"/>
        <v>84</v>
      </c>
      <c r="B88" s="20">
        <v>7.0628899999999994E-2</v>
      </c>
      <c r="C88" s="5">
        <f t="shared" si="16"/>
        <v>53006.205487851847</v>
      </c>
      <c r="D88" s="51">
        <f t="shared" si="13"/>
        <v>3743.7699867809424</v>
      </c>
      <c r="E88" s="54">
        <f t="shared" si="9"/>
        <v>0.95887984540321924</v>
      </c>
      <c r="F88" s="55">
        <f t="shared" si="14"/>
        <v>50826.582123602653</v>
      </c>
      <c r="G88" s="56">
        <f t="shared" si="10"/>
        <v>430632.95558420673</v>
      </c>
      <c r="H88" s="57">
        <f t="shared" si="10"/>
        <v>2831179.224826186</v>
      </c>
      <c r="I88" s="55">
        <f t="shared" si="15"/>
        <v>3588.0315703645401</v>
      </c>
      <c r="J88" s="56">
        <f t="shared" si="11"/>
        <v>50611.373250247219</v>
      </c>
      <c r="K88" s="57">
        <f t="shared" si="11"/>
        <v>429218.07341287931</v>
      </c>
    </row>
    <row r="89" spans="1:11" x14ac:dyDescent="0.15">
      <c r="A89" s="1">
        <f t="shared" si="12"/>
        <v>85</v>
      </c>
      <c r="B89" s="20">
        <v>7.7498399999999995E-2</v>
      </c>
      <c r="C89" s="5">
        <f t="shared" si="16"/>
        <v>49262.435501070904</v>
      </c>
      <c r="D89" s="51">
        <f t="shared" si="13"/>
        <v>3817.7599314361942</v>
      </c>
      <c r="E89" s="54">
        <f t="shared" si="9"/>
        <v>0.9584006450806789</v>
      </c>
      <c r="F89" s="55">
        <f t="shared" si="14"/>
        <v>47213.149962471689</v>
      </c>
      <c r="G89" s="56">
        <f t="shared" si="10"/>
        <v>379806.37346060411</v>
      </c>
      <c r="H89" s="57">
        <f t="shared" si="10"/>
        <v>2400546.2692419793</v>
      </c>
      <c r="I89" s="55">
        <f t="shared" si="15"/>
        <v>3657.1150235398477</v>
      </c>
      <c r="J89" s="56">
        <f t="shared" si="11"/>
        <v>47023.34167988268</v>
      </c>
      <c r="K89" s="57">
        <f t="shared" si="11"/>
        <v>378606.7001626321</v>
      </c>
    </row>
    <row r="90" spans="1:11" x14ac:dyDescent="0.15">
      <c r="A90" s="1">
        <f t="shared" si="12"/>
        <v>86</v>
      </c>
      <c r="B90" s="20">
        <v>8.4723499999999993E-2</v>
      </c>
      <c r="C90" s="5">
        <f t="shared" si="16"/>
        <v>45444.67556963471</v>
      </c>
      <c r="D90" s="51">
        <f t="shared" si="13"/>
        <v>3850.2319706239432</v>
      </c>
      <c r="E90" s="54">
        <f t="shared" si="9"/>
        <v>0.95792168423855983</v>
      </c>
      <c r="F90" s="55">
        <f t="shared" si="14"/>
        <v>43532.440161339415</v>
      </c>
      <c r="G90" s="56">
        <f t="shared" si="10"/>
        <v>332593.22349813243</v>
      </c>
      <c r="H90" s="57">
        <f t="shared" si="10"/>
        <v>2020739.895781375</v>
      </c>
      <c r="I90" s="55">
        <f t="shared" si="15"/>
        <v>3686.3775052566075</v>
      </c>
      <c r="J90" s="56">
        <f t="shared" si="11"/>
        <v>43366.226656342835</v>
      </c>
      <c r="K90" s="57">
        <f t="shared" si="11"/>
        <v>331583.35848274943</v>
      </c>
    </row>
    <row r="91" spans="1:11" x14ac:dyDescent="0.15">
      <c r="A91" s="1">
        <f t="shared" si="12"/>
        <v>87</v>
      </c>
      <c r="B91" s="20">
        <v>9.2303700000000002E-2</v>
      </c>
      <c r="C91" s="5">
        <f t="shared" si="16"/>
        <v>41594.443599010767</v>
      </c>
      <c r="D91" s="51">
        <f t="shared" si="13"/>
        <v>3839.3210436300069</v>
      </c>
      <c r="E91" s="54">
        <f t="shared" si="9"/>
        <v>0.95744296275718099</v>
      </c>
      <c r="F91" s="55">
        <f t="shared" si="14"/>
        <v>39824.307313673329</v>
      </c>
      <c r="G91" s="56">
        <f t="shared" si="10"/>
        <v>289060.78333679301</v>
      </c>
      <c r="H91" s="57">
        <f t="shared" si="10"/>
        <v>1688146.6722832425</v>
      </c>
      <c r="I91" s="55">
        <f t="shared" si="15"/>
        <v>3674.0938680550785</v>
      </c>
      <c r="J91" s="56">
        <f t="shared" si="11"/>
        <v>39679.84915108623</v>
      </c>
      <c r="K91" s="57">
        <f t="shared" si="11"/>
        <v>288217.13182640658</v>
      </c>
    </row>
    <row r="92" spans="1:11" x14ac:dyDescent="0.15">
      <c r="A92" s="1">
        <f t="shared" si="12"/>
        <v>88</v>
      </c>
      <c r="B92" s="20">
        <v>0.1002388</v>
      </c>
      <c r="C92" s="5">
        <f t="shared" si="16"/>
        <v>37755.12255538076</v>
      </c>
      <c r="D92" s="51">
        <f t="shared" si="13"/>
        <v>3784.5281788042994</v>
      </c>
      <c r="E92" s="54">
        <f t="shared" si="9"/>
        <v>0.95696448051692251</v>
      </c>
      <c r="F92" s="55">
        <f t="shared" si="14"/>
        <v>36130.311243062693</v>
      </c>
      <c r="G92" s="56">
        <f t="shared" si="10"/>
        <v>249236.47602311967</v>
      </c>
      <c r="H92" s="57">
        <f t="shared" si="10"/>
        <v>1399085.8889464494</v>
      </c>
      <c r="I92" s="55">
        <f t="shared" si="15"/>
        <v>3619.8491180720757</v>
      </c>
      <c r="J92" s="56">
        <f t="shared" si="11"/>
        <v>36005.755283031154</v>
      </c>
      <c r="K92" s="57">
        <f t="shared" si="11"/>
        <v>248537.28267532037</v>
      </c>
    </row>
    <row r="93" spans="1:11" x14ac:dyDescent="0.15">
      <c r="A93" s="1">
        <f t="shared" si="12"/>
        <v>89</v>
      </c>
      <c r="B93" s="20">
        <v>0.1085285</v>
      </c>
      <c r="C93" s="5">
        <f t="shared" si="16"/>
        <v>33970.59437657646</v>
      </c>
      <c r="D93" s="51">
        <f t="shared" si="13"/>
        <v>3686.7776517982784</v>
      </c>
      <c r="E93" s="54">
        <f t="shared" si="9"/>
        <v>0.95648623739822358</v>
      </c>
      <c r="F93" s="55">
        <f t="shared" si="14"/>
        <v>32492.40599743287</v>
      </c>
      <c r="G93" s="56">
        <f t="shared" si="10"/>
        <v>213106.16478005698</v>
      </c>
      <c r="H93" s="57">
        <f t="shared" si="10"/>
        <v>1149849.4129233297</v>
      </c>
      <c r="I93" s="55">
        <f t="shared" si="15"/>
        <v>3524.5897893976939</v>
      </c>
      <c r="J93" s="56">
        <f t="shared" si="11"/>
        <v>32385.90616495908</v>
      </c>
      <c r="K93" s="57">
        <f t="shared" si="11"/>
        <v>212531.52739228922</v>
      </c>
    </row>
    <row r="94" spans="1:11" x14ac:dyDescent="0.15">
      <c r="A94" s="1">
        <f t="shared" si="12"/>
        <v>90</v>
      </c>
      <c r="B94" s="20">
        <v>0.1171726</v>
      </c>
      <c r="C94" s="5">
        <f t="shared" si="16"/>
        <v>30283.816724778182</v>
      </c>
      <c r="D94" s="51">
        <f t="shared" si="13"/>
        <v>3548.4335435657413</v>
      </c>
      <c r="E94" s="54">
        <f t="shared" si="9"/>
        <v>0.95600823328158269</v>
      </c>
      <c r="F94" s="55">
        <f t="shared" si="14"/>
        <v>28951.578124078434</v>
      </c>
      <c r="G94" s="56">
        <f t="shared" si="10"/>
        <v>180613.75878262412</v>
      </c>
      <c r="H94" s="57">
        <f t="shared" si="10"/>
        <v>936743.24814327282</v>
      </c>
      <c r="I94" s="55">
        <f t="shared" si="15"/>
        <v>3390.6363647190306</v>
      </c>
      <c r="J94" s="56">
        <f t="shared" si="11"/>
        <v>28861.316375561386</v>
      </c>
      <c r="K94" s="57">
        <f t="shared" si="11"/>
        <v>180145.62122733015</v>
      </c>
    </row>
    <row r="95" spans="1:11" x14ac:dyDescent="0.15">
      <c r="A95" s="1">
        <f t="shared" si="12"/>
        <v>91</v>
      </c>
      <c r="B95" s="20">
        <v>0.1261708</v>
      </c>
      <c r="C95" s="5">
        <f t="shared" si="16"/>
        <v>26735.383181212441</v>
      </c>
      <c r="D95" s="51">
        <f t="shared" si="13"/>
        <v>3373.2246842801178</v>
      </c>
      <c r="E95" s="54">
        <f t="shared" si="9"/>
        <v>0.95553046804755881</v>
      </c>
      <c r="F95" s="55">
        <f t="shared" si="14"/>
        <v>25546.473204574755</v>
      </c>
      <c r="G95" s="56">
        <f t="shared" si="10"/>
        <v>151662.18065854569</v>
      </c>
      <c r="H95" s="57">
        <f t="shared" si="10"/>
        <v>756129.48936064867</v>
      </c>
      <c r="I95" s="55">
        <f t="shared" si="15"/>
        <v>3221.6081573210995</v>
      </c>
      <c r="J95" s="56">
        <f t="shared" si="11"/>
        <v>25470.680010842356</v>
      </c>
      <c r="K95" s="57">
        <f t="shared" si="11"/>
        <v>151284.30485176877</v>
      </c>
    </row>
    <row r="96" spans="1:11" x14ac:dyDescent="0.15">
      <c r="A96" s="1">
        <f t="shared" si="12"/>
        <v>92</v>
      </c>
      <c r="B96" s="20">
        <v>0.13552310000000001</v>
      </c>
      <c r="C96" s="5">
        <f t="shared" si="16"/>
        <v>23362.158496932323</v>
      </c>
      <c r="D96" s="51">
        <f t="shared" si="13"/>
        <v>3166.1121421956086</v>
      </c>
      <c r="E96" s="54">
        <f t="shared" si="9"/>
        <v>0.95505294157677056</v>
      </c>
      <c r="F96" s="55">
        <f t="shared" si="14"/>
        <v>22312.09819407796</v>
      </c>
      <c r="G96" s="56">
        <f t="shared" si="10"/>
        <v>126115.70745397094</v>
      </c>
      <c r="H96" s="57">
        <f t="shared" si="10"/>
        <v>604467.30870210298</v>
      </c>
      <c r="I96" s="55">
        <f t="shared" si="15"/>
        <v>3022.2935679818561</v>
      </c>
      <c r="J96" s="56">
        <f t="shared" si="11"/>
        <v>22249.071853521258</v>
      </c>
      <c r="K96" s="57">
        <f t="shared" si="11"/>
        <v>125813.62484092641</v>
      </c>
    </row>
    <row r="97" spans="1:11" x14ac:dyDescent="0.15">
      <c r="A97" s="1">
        <f t="shared" si="12"/>
        <v>93</v>
      </c>
      <c r="B97" s="20">
        <v>0.145229</v>
      </c>
      <c r="C97" s="5">
        <f t="shared" si="16"/>
        <v>20196.046354736714</v>
      </c>
      <c r="D97" s="51">
        <f t="shared" si="13"/>
        <v>2933.0516160520601</v>
      </c>
      <c r="E97" s="54">
        <f t="shared" si="9"/>
        <v>0.95457565374989573</v>
      </c>
      <c r="F97" s="55">
        <f t="shared" si="14"/>
        <v>19278.654152235998</v>
      </c>
      <c r="G97" s="56">
        <f t="shared" si="10"/>
        <v>103803.60925989298</v>
      </c>
      <c r="H97" s="57">
        <f t="shared" si="10"/>
        <v>478351.60124813206</v>
      </c>
      <c r="I97" s="55">
        <f t="shared" si="15"/>
        <v>2798.4204536482603</v>
      </c>
      <c r="J97" s="56">
        <f t="shared" si="11"/>
        <v>19226.778285539403</v>
      </c>
      <c r="K97" s="57">
        <f t="shared" si="11"/>
        <v>103564.55298740514</v>
      </c>
    </row>
    <row r="98" spans="1:11" x14ac:dyDescent="0.15">
      <c r="A98" s="1">
        <f t="shared" si="12"/>
        <v>94</v>
      </c>
      <c r="B98" s="20">
        <v>0.1552886</v>
      </c>
      <c r="C98" s="5">
        <f t="shared" si="16"/>
        <v>17262.994738684654</v>
      </c>
      <c r="D98" s="51">
        <f t="shared" si="13"/>
        <v>2680.746284777706</v>
      </c>
      <c r="E98" s="54">
        <f t="shared" si="9"/>
        <v>0.95409860444767214</v>
      </c>
      <c r="F98" s="55">
        <f t="shared" si="14"/>
        <v>16470.599188766537</v>
      </c>
      <c r="G98" s="56">
        <f t="shared" si="10"/>
        <v>84524.955107656977</v>
      </c>
      <c r="H98" s="57">
        <f t="shared" si="10"/>
        <v>374547.99198823911</v>
      </c>
      <c r="I98" s="55">
        <f t="shared" si="15"/>
        <v>2556.4180801446182</v>
      </c>
      <c r="J98" s="56">
        <f t="shared" si="11"/>
        <v>16428.357831891142</v>
      </c>
      <c r="K98" s="57">
        <f t="shared" si="11"/>
        <v>84337.774701865739</v>
      </c>
    </row>
    <row r="99" spans="1:11" x14ac:dyDescent="0.15">
      <c r="A99" s="1">
        <f t="shared" si="12"/>
        <v>95</v>
      </c>
      <c r="B99" s="20">
        <v>0.1657013</v>
      </c>
      <c r="C99" s="5">
        <f t="shared" si="16"/>
        <v>14582.248453906948</v>
      </c>
      <c r="D99" s="51">
        <f t="shared" si="13"/>
        <v>2416.2975257353719</v>
      </c>
      <c r="E99" s="54">
        <f t="shared" si="9"/>
        <v>0.95362179355089638</v>
      </c>
      <c r="F99" s="55">
        <f t="shared" si="14"/>
        <v>13905.94992461953</v>
      </c>
      <c r="G99" s="56">
        <f t="shared" si="10"/>
        <v>68054.355918890433</v>
      </c>
      <c r="H99" s="57">
        <f t="shared" si="10"/>
        <v>290023.03688058211</v>
      </c>
      <c r="I99" s="55">
        <f t="shared" si="15"/>
        <v>2303.0824390248467</v>
      </c>
      <c r="J99" s="56">
        <f t="shared" si="11"/>
        <v>13871.939751746524</v>
      </c>
      <c r="K99" s="57">
        <f t="shared" si="11"/>
        <v>67909.416869974593</v>
      </c>
    </row>
    <row r="100" spans="1:11" x14ac:dyDescent="0.15">
      <c r="A100" s="1">
        <f t="shared" si="12"/>
        <v>96</v>
      </c>
      <c r="B100" s="20">
        <v>0.17646729999999999</v>
      </c>
      <c r="C100" s="5">
        <f t="shared" si="16"/>
        <v>12165.950928171576</v>
      </c>
      <c r="D100" s="51">
        <f t="shared" si="13"/>
        <v>2146.892512226932</v>
      </c>
      <c r="E100" s="54">
        <f t="shared" si="9"/>
        <v>0.95314522094042642</v>
      </c>
      <c r="F100" s="55">
        <f t="shared" si="14"/>
        <v>11595.917985382483</v>
      </c>
      <c r="G100" s="56">
        <f t="shared" si="10"/>
        <v>54148.405994270899</v>
      </c>
      <c r="H100" s="57">
        <f t="shared" si="10"/>
        <v>221968.68096169169</v>
      </c>
      <c r="I100" s="55">
        <f t="shared" si="15"/>
        <v>2045.2776990523598</v>
      </c>
      <c r="J100" s="56">
        <f t="shared" si="11"/>
        <v>11568.857312721677</v>
      </c>
      <c r="K100" s="57">
        <f t="shared" si="11"/>
        <v>54037.477118228067</v>
      </c>
    </row>
    <row r="101" spans="1:11" x14ac:dyDescent="0.15">
      <c r="A101" s="1">
        <f t="shared" si="12"/>
        <v>97</v>
      </c>
      <c r="B101" s="20">
        <v>0.18758610000000001</v>
      </c>
      <c r="C101" s="5">
        <f t="shared" si="16"/>
        <v>10019.058415944644</v>
      </c>
      <c r="D101" s="51">
        <f t="shared" si="13"/>
        <v>1879.4360939192338</v>
      </c>
      <c r="E101" s="54">
        <f t="shared" si="9"/>
        <v>0.95266888649717774</v>
      </c>
      <c r="F101" s="55">
        <f t="shared" si="14"/>
        <v>9544.8452248681624</v>
      </c>
      <c r="G101" s="56">
        <f t="shared" si="10"/>
        <v>42552.488008888417</v>
      </c>
      <c r="H101" s="57">
        <f t="shared" si="10"/>
        <v>167820.27496742079</v>
      </c>
      <c r="I101" s="55">
        <f t="shared" si="15"/>
        <v>1789.5854980875981</v>
      </c>
      <c r="J101" s="56">
        <f t="shared" si="11"/>
        <v>9523.579613669317</v>
      </c>
      <c r="K101" s="57">
        <f t="shared" si="11"/>
        <v>42468.619805506394</v>
      </c>
    </row>
    <row r="102" spans="1:11" x14ac:dyDescent="0.15">
      <c r="A102" s="1">
        <f t="shared" si="12"/>
        <v>98</v>
      </c>
      <c r="B102" s="20">
        <v>0.1990577</v>
      </c>
      <c r="C102" s="5">
        <f t="shared" si="16"/>
        <v>8139.6223220254105</v>
      </c>
      <c r="D102" s="51">
        <f t="shared" si="13"/>
        <v>1620.2544982910376</v>
      </c>
      <c r="E102" s="54">
        <f t="shared" si="9"/>
        <v>0.95219279010212687</v>
      </c>
      <c r="F102" s="55">
        <f t="shared" si="14"/>
        <v>7750.4896891869284</v>
      </c>
      <c r="G102" s="56">
        <f t="shared" si="10"/>
        <v>33007.642784020252</v>
      </c>
      <c r="H102" s="57">
        <f t="shared" si="10"/>
        <v>125267.78695853236</v>
      </c>
      <c r="I102" s="55">
        <f t="shared" si="15"/>
        <v>1542.0236395834731</v>
      </c>
      <c r="J102" s="56">
        <f t="shared" si="11"/>
        <v>7733.9941155817196</v>
      </c>
      <c r="K102" s="57">
        <f t="shared" si="11"/>
        <v>32945.040191837077</v>
      </c>
    </row>
    <row r="103" spans="1:11" x14ac:dyDescent="0.15">
      <c r="A103" s="1">
        <f t="shared" si="12"/>
        <v>99</v>
      </c>
      <c r="B103" s="20">
        <v>0.21088170000000001</v>
      </c>
      <c r="C103" s="5">
        <f t="shared" si="16"/>
        <v>6519.3678237343729</v>
      </c>
      <c r="D103" s="51">
        <f t="shared" si="13"/>
        <v>1374.8153695944056</v>
      </c>
      <c r="E103" s="54">
        <f t="shared" si="9"/>
        <v>0.95171693163630866</v>
      </c>
      <c r="F103" s="55">
        <f t="shared" si="14"/>
        <v>6204.5927414129565</v>
      </c>
      <c r="G103" s="56">
        <f t="shared" si="10"/>
        <v>25257.153094833324</v>
      </c>
      <c r="H103" s="57">
        <f t="shared" si="10"/>
        <v>92260.144174512112</v>
      </c>
      <c r="I103" s="55">
        <f t="shared" si="15"/>
        <v>1307.7811745295605</v>
      </c>
      <c r="J103" s="56">
        <f t="shared" si="11"/>
        <v>6191.9704759982469</v>
      </c>
      <c r="K103" s="57">
        <f t="shared" si="11"/>
        <v>25211.046076255356</v>
      </c>
    </row>
    <row r="104" spans="1:11" x14ac:dyDescent="0.15">
      <c r="A104" s="1">
        <f t="shared" si="12"/>
        <v>100</v>
      </c>
      <c r="B104" s="20">
        <v>0.22305800000000001</v>
      </c>
      <c r="C104" s="5">
        <f t="shared" si="16"/>
        <v>5144.5524541399673</v>
      </c>
      <c r="D104" s="51">
        <f t="shared" si="13"/>
        <v>1147.5335813155525</v>
      </c>
      <c r="E104" s="54">
        <f t="shared" si="9"/>
        <v>0.95124131098081821</v>
      </c>
      <c r="F104" s="55">
        <f t="shared" si="14"/>
        <v>4893.710820885688</v>
      </c>
      <c r="G104" s="56">
        <f t="shared" si="10"/>
        <v>19052.560353420369</v>
      </c>
      <c r="H104" s="57">
        <f t="shared" si="10"/>
        <v>67002.991079678788</v>
      </c>
      <c r="I104" s="55">
        <f t="shared" si="15"/>
        <v>1091.0358303699345</v>
      </c>
      <c r="J104" s="56">
        <f t="shared" si="11"/>
        <v>4884.1893014686866</v>
      </c>
      <c r="K104" s="57">
        <f t="shared" si="11"/>
        <v>19019.075600257107</v>
      </c>
    </row>
    <row r="105" spans="1:11" x14ac:dyDescent="0.15">
      <c r="A105" s="1">
        <f t="shared" si="12"/>
        <v>101</v>
      </c>
      <c r="B105" s="20">
        <v>0.2355863</v>
      </c>
      <c r="C105" s="5">
        <f t="shared" si="16"/>
        <v>3997.0188728244148</v>
      </c>
      <c r="D105" s="51">
        <f t="shared" si="13"/>
        <v>941.6428872788747</v>
      </c>
      <c r="E105" s="54">
        <f t="shared" si="9"/>
        <v>0.95076592801680981</v>
      </c>
      <c r="F105" s="55">
        <f t="shared" si="14"/>
        <v>3800.229357921608</v>
      </c>
      <c r="G105" s="56">
        <f t="shared" si="10"/>
        <v>14158.849532534679</v>
      </c>
      <c r="H105" s="57">
        <f t="shared" si="10"/>
        <v>47950.430726258426</v>
      </c>
      <c r="I105" s="55">
        <f t="shared" si="15"/>
        <v>894.83455630597462</v>
      </c>
      <c r="J105" s="56">
        <f t="shared" si="11"/>
        <v>3793.1534710987521</v>
      </c>
      <c r="K105" s="57">
        <f t="shared" si="11"/>
        <v>14134.886298788422</v>
      </c>
    </row>
    <row r="106" spans="1:11" x14ac:dyDescent="0.15">
      <c r="A106" s="1">
        <f t="shared" si="12"/>
        <v>102</v>
      </c>
      <c r="B106" s="20">
        <v>0.24846650000000001</v>
      </c>
      <c r="C106" s="5">
        <f t="shared" si="16"/>
        <v>3055.3759855455401</v>
      </c>
      <c r="D106" s="51">
        <f t="shared" si="13"/>
        <v>759.15857731255119</v>
      </c>
      <c r="E106" s="54">
        <f t="shared" si="9"/>
        <v>0.95029078262549715</v>
      </c>
      <c r="F106" s="55">
        <f t="shared" si="14"/>
        <v>2903.4956365192211</v>
      </c>
      <c r="G106" s="56">
        <f t="shared" si="10"/>
        <v>10358.620174613072</v>
      </c>
      <c r="H106" s="57">
        <f t="shared" si="10"/>
        <v>33791.581193723745</v>
      </c>
      <c r="I106" s="55">
        <f t="shared" si="15"/>
        <v>721.06086813713466</v>
      </c>
      <c r="J106" s="56">
        <f t="shared" si="11"/>
        <v>2898.3189147927774</v>
      </c>
      <c r="K106" s="57">
        <f t="shared" si="11"/>
        <v>10341.73282768967</v>
      </c>
    </row>
    <row r="107" spans="1:11" x14ac:dyDescent="0.15">
      <c r="A107" s="1">
        <f t="shared" si="12"/>
        <v>103</v>
      </c>
      <c r="B107" s="20">
        <v>0.26169829999999999</v>
      </c>
      <c r="C107" s="5">
        <f t="shared" si="16"/>
        <v>2296.2174082329889</v>
      </c>
      <c r="D107" s="51">
        <f t="shared" si="13"/>
        <v>600.91619216497907</v>
      </c>
      <c r="E107" s="54">
        <f t="shared" si="9"/>
        <v>0.94981587468815309</v>
      </c>
      <c r="F107" s="55">
        <f t="shared" si="14"/>
        <v>2180.9837460749804</v>
      </c>
      <c r="G107" s="56">
        <f t="shared" si="10"/>
        <v>7455.1245380938499</v>
      </c>
      <c r="H107" s="57">
        <f t="shared" si="10"/>
        <v>23432.961019110673</v>
      </c>
      <c r="I107" s="55">
        <f t="shared" si="15"/>
        <v>570.47450142474156</v>
      </c>
      <c r="J107" s="56">
        <f t="shared" si="11"/>
        <v>2177.2580466556428</v>
      </c>
      <c r="K107" s="57">
        <f t="shared" si="11"/>
        <v>7443.4139128968927</v>
      </c>
    </row>
    <row r="108" spans="1:11" x14ac:dyDescent="0.15">
      <c r="A108" s="1">
        <f t="shared" si="12"/>
        <v>104</v>
      </c>
      <c r="B108" s="20">
        <v>0.27528150000000001</v>
      </c>
      <c r="C108" s="5">
        <f t="shared" si="16"/>
        <v>1695.3012160680098</v>
      </c>
      <c r="D108" s="51">
        <f t="shared" si="13"/>
        <v>466.68506171102581</v>
      </c>
      <c r="E108" s="54">
        <f t="shared" si="9"/>
        <v>0.94934120408611011</v>
      </c>
      <c r="F108" s="55">
        <f t="shared" si="14"/>
        <v>1609.4192977506511</v>
      </c>
      <c r="G108" s="56">
        <f t="shared" si="10"/>
        <v>5274.1407920188694</v>
      </c>
      <c r="H108" s="57">
        <f t="shared" si="10"/>
        <v>15977.836481016824</v>
      </c>
      <c r="I108" s="55">
        <f t="shared" si="15"/>
        <v>442.82194744002578</v>
      </c>
      <c r="J108" s="56">
        <f t="shared" si="11"/>
        <v>1606.7835452309014</v>
      </c>
      <c r="K108" s="57">
        <f t="shared" si="11"/>
        <v>5266.1558662412499</v>
      </c>
    </row>
    <row r="109" spans="1:11" x14ac:dyDescent="0.15">
      <c r="A109" s="1">
        <f t="shared" si="12"/>
        <v>105</v>
      </c>
      <c r="B109" s="20">
        <v>0.28921560000000002</v>
      </c>
      <c r="C109" s="5">
        <f t="shared" si="16"/>
        <v>1228.616154356984</v>
      </c>
      <c r="D109" s="51">
        <f t="shared" si="13"/>
        <v>355.33495825204773</v>
      </c>
      <c r="E109" s="54">
        <f t="shared" si="9"/>
        <v>0.94886677070075964</v>
      </c>
      <c r="F109" s="55">
        <f t="shared" si="14"/>
        <v>1165.7930428154975</v>
      </c>
      <c r="G109" s="56">
        <f t="shared" si="10"/>
        <v>3664.7214942682185</v>
      </c>
      <c r="H109" s="57">
        <f t="shared" si="10"/>
        <v>10703.695688997956</v>
      </c>
      <c r="I109" s="55">
        <f t="shared" si="15"/>
        <v>336.99703583579191</v>
      </c>
      <c r="J109" s="56">
        <f t="shared" si="11"/>
        <v>1163.9615977908757</v>
      </c>
      <c r="K109" s="57">
        <f t="shared" si="11"/>
        <v>3659.3723210103485</v>
      </c>
    </row>
    <row r="110" spans="1:11" x14ac:dyDescent="0.15">
      <c r="A110" s="1">
        <f t="shared" si="12"/>
        <v>106</v>
      </c>
      <c r="B110" s="20">
        <v>0.30350080000000002</v>
      </c>
      <c r="C110" s="5">
        <f t="shared" si="16"/>
        <v>873.28119610493627</v>
      </c>
      <c r="D110" s="51">
        <f t="shared" si="13"/>
        <v>265.0415416428051</v>
      </c>
      <c r="E110" s="54">
        <f t="shared" si="9"/>
        <v>0.94839257441355296</v>
      </c>
      <c r="F110" s="55">
        <f t="shared" si="14"/>
        <v>828.21340176090735</v>
      </c>
      <c r="G110" s="56">
        <f t="shared" si="10"/>
        <v>2498.9284514527208</v>
      </c>
      <c r="H110" s="57">
        <f t="shared" si="10"/>
        <v>7038.9741947297371</v>
      </c>
      <c r="I110" s="55">
        <f t="shared" si="15"/>
        <v>251.23781109960703</v>
      </c>
      <c r="J110" s="56">
        <f t="shared" si="11"/>
        <v>826.96456195508381</v>
      </c>
      <c r="K110" s="57">
        <f t="shared" si="11"/>
        <v>2495.4107232194729</v>
      </c>
    </row>
    <row r="111" spans="1:11" x14ac:dyDescent="0.15">
      <c r="A111" s="1">
        <f t="shared" si="12"/>
        <v>107</v>
      </c>
      <c r="B111" s="20">
        <v>0.31813639999999999</v>
      </c>
      <c r="C111" s="5">
        <f t="shared" si="16"/>
        <v>608.23965446213117</v>
      </c>
      <c r="D111" s="51">
        <f t="shared" si="13"/>
        <v>193.50317400782632</v>
      </c>
      <c r="E111" s="54">
        <f t="shared" si="9"/>
        <v>0.94791861510599995</v>
      </c>
      <c r="F111" s="55">
        <f t="shared" si="14"/>
        <v>576.56169091029528</v>
      </c>
      <c r="G111" s="56">
        <f t="shared" si="10"/>
        <v>1670.7150496918136</v>
      </c>
      <c r="H111" s="57">
        <f t="shared" si="10"/>
        <v>4540.0457432770163</v>
      </c>
      <c r="I111" s="55">
        <f t="shared" si="15"/>
        <v>183.33359392715045</v>
      </c>
      <c r="J111" s="56">
        <f t="shared" si="11"/>
        <v>575.72675085547678</v>
      </c>
      <c r="K111" s="57">
        <f t="shared" si="11"/>
        <v>1668.446161264389</v>
      </c>
    </row>
    <row r="112" spans="1:11" x14ac:dyDescent="0.15">
      <c r="A112" s="1">
        <f t="shared" si="12"/>
        <v>108</v>
      </c>
      <c r="B112" s="20">
        <v>0.33312249999999999</v>
      </c>
      <c r="C112" s="5">
        <f t="shared" si="16"/>
        <v>414.73648045430485</v>
      </c>
      <c r="D112" s="51">
        <f t="shared" si="13"/>
        <v>138.15805321013914</v>
      </c>
      <c r="E112" s="54">
        <f t="shared" si="9"/>
        <v>0.94744489265966991</v>
      </c>
      <c r="F112" s="55">
        <f t="shared" si="14"/>
        <v>392.93996020607813</v>
      </c>
      <c r="G112" s="56">
        <f t="shared" si="10"/>
        <v>1094.1533587815184</v>
      </c>
      <c r="H112" s="57">
        <f t="shared" si="10"/>
        <v>2869.3306935852024</v>
      </c>
      <c r="I112" s="55">
        <f t="shared" si="15"/>
        <v>130.8317260307339</v>
      </c>
      <c r="J112" s="56">
        <f t="shared" si="11"/>
        <v>392.39315692832633</v>
      </c>
      <c r="K112" s="57">
        <f t="shared" si="11"/>
        <v>1092.7194104089122</v>
      </c>
    </row>
    <row r="113" spans="1:12" x14ac:dyDescent="0.15">
      <c r="A113" s="1">
        <f t="shared" si="12"/>
        <v>109</v>
      </c>
      <c r="B113" s="20">
        <v>0.3484585</v>
      </c>
      <c r="C113" s="5">
        <f t="shared" si="16"/>
        <v>276.57842724416571</v>
      </c>
      <c r="D113" s="51">
        <f t="shared" si="13"/>
        <v>96.376103889861128</v>
      </c>
      <c r="E113" s="54">
        <f t="shared" si="9"/>
        <v>0.94697140695619197</v>
      </c>
      <c r="F113" s="55">
        <f t="shared" si="14"/>
        <v>261.91186238113841</v>
      </c>
      <c r="G113" s="56">
        <f t="shared" si="10"/>
        <v>701.21339857544012</v>
      </c>
      <c r="H113" s="57">
        <f t="shared" si="10"/>
        <v>1775.1773348036838</v>
      </c>
      <c r="I113" s="55">
        <f t="shared" si="15"/>
        <v>91.219804795140377</v>
      </c>
      <c r="J113" s="56">
        <f t="shared" si="11"/>
        <v>261.56143089759246</v>
      </c>
      <c r="K113" s="57">
        <f t="shared" si="11"/>
        <v>700.32625348058582</v>
      </c>
    </row>
    <row r="114" spans="1:12" x14ac:dyDescent="0.15">
      <c r="A114" s="1">
        <f t="shared" si="12"/>
        <v>110</v>
      </c>
      <c r="B114" s="20">
        <v>0.36414429999999998</v>
      </c>
      <c r="C114" s="5">
        <f t="shared" si="16"/>
        <v>180.20232335430458</v>
      </c>
      <c r="D114" s="51">
        <f t="shared" si="13"/>
        <v>65.619648896226892</v>
      </c>
      <c r="E114" s="54">
        <f t="shared" si="9"/>
        <v>0.94649815787725367</v>
      </c>
      <c r="F114" s="55">
        <f t="shared" si="14"/>
        <v>170.56116710005048</v>
      </c>
      <c r="G114" s="56">
        <f t="shared" si="10"/>
        <v>439.30153619430178</v>
      </c>
      <c r="H114" s="57">
        <f t="shared" si="10"/>
        <v>1073.9639362282437</v>
      </c>
      <c r="I114" s="55">
        <f t="shared" si="15"/>
        <v>62.077837881889948</v>
      </c>
      <c r="J114" s="56">
        <f t="shared" si="11"/>
        <v>170.3416261024521</v>
      </c>
      <c r="K114" s="57">
        <f t="shared" si="11"/>
        <v>438.7648225829933</v>
      </c>
    </row>
    <row r="115" spans="1:12" x14ac:dyDescent="0.15">
      <c r="A115" s="1">
        <f t="shared" si="12"/>
        <v>111</v>
      </c>
      <c r="B115" s="20">
        <v>0.3801795</v>
      </c>
      <c r="C115" s="5">
        <f t="shared" si="16"/>
        <v>114.58267445807769</v>
      </c>
      <c r="D115" s="51">
        <f t="shared" si="13"/>
        <v>43.561983884134747</v>
      </c>
      <c r="E115" s="54">
        <f t="shared" si="9"/>
        <v>0.94602514530460102</v>
      </c>
      <c r="F115" s="55">
        <f t="shared" si="14"/>
        <v>108.39809125359274</v>
      </c>
      <c r="G115" s="56">
        <f t="shared" si="10"/>
        <v>268.74036909425126</v>
      </c>
      <c r="H115" s="57">
        <f t="shared" si="10"/>
        <v>634.66240003394205</v>
      </c>
      <c r="I115" s="55">
        <f t="shared" si="15"/>
        <v>41.19013706521266</v>
      </c>
      <c r="J115" s="56">
        <f t="shared" si="11"/>
        <v>108.26378822056216</v>
      </c>
      <c r="K115" s="57">
        <f t="shared" si="11"/>
        <v>268.42319648054121</v>
      </c>
    </row>
    <row r="116" spans="1:12" x14ac:dyDescent="0.15">
      <c r="A116" s="1">
        <f t="shared" si="12"/>
        <v>112</v>
      </c>
      <c r="B116" s="20">
        <v>0.39656380000000002</v>
      </c>
      <c r="C116" s="5">
        <f t="shared" si="16"/>
        <v>71.020690573942943</v>
      </c>
      <c r="D116" s="51">
        <f t="shared" si="13"/>
        <v>28.164234932626997</v>
      </c>
      <c r="E116" s="54">
        <f t="shared" si="9"/>
        <v>0.94555236912004115</v>
      </c>
      <c r="F116" s="55">
        <f t="shared" si="14"/>
        <v>67.153782228733121</v>
      </c>
      <c r="G116" s="56">
        <f t="shared" si="10"/>
        <v>160.34227784065854</v>
      </c>
      <c r="H116" s="57">
        <f t="shared" si="10"/>
        <v>365.92203093969073</v>
      </c>
      <c r="I116" s="55">
        <f t="shared" si="15"/>
        <v>26.617450339828963</v>
      </c>
      <c r="J116" s="56">
        <f t="shared" si="11"/>
        <v>67.073651155349495</v>
      </c>
      <c r="K116" s="57">
        <f t="shared" si="11"/>
        <v>160.15940825997905</v>
      </c>
    </row>
    <row r="117" spans="1:12" x14ac:dyDescent="0.15">
      <c r="A117" s="1">
        <f t="shared" si="12"/>
        <v>113</v>
      </c>
      <c r="B117" s="20">
        <v>0.41329680000000002</v>
      </c>
      <c r="C117" s="5">
        <f t="shared" si="16"/>
        <v>42.856455641315947</v>
      </c>
      <c r="D117" s="51">
        <f t="shared" si="13"/>
        <v>17.712435975897829</v>
      </c>
      <c r="E117" s="54">
        <f t="shared" si="9"/>
        <v>0.94507982920543843</v>
      </c>
      <c r="F117" s="55">
        <f t="shared" si="14"/>
        <v>40.502771777845325</v>
      </c>
      <c r="G117" s="56">
        <f t="shared" si="10"/>
        <v>93.188495611925418</v>
      </c>
      <c r="H117" s="57">
        <f t="shared" si="10"/>
        <v>205.57975309903219</v>
      </c>
      <c r="I117" s="55">
        <f t="shared" si="15"/>
        <v>16.731300316755409</v>
      </c>
      <c r="J117" s="56">
        <f t="shared" si="11"/>
        <v>40.456200815520532</v>
      </c>
      <c r="K117" s="57">
        <f t="shared" si="11"/>
        <v>93.08575710462955</v>
      </c>
    </row>
    <row r="118" spans="1:12" x14ac:dyDescent="0.15">
      <c r="A118" s="1">
        <f t="shared" si="12"/>
        <v>114</v>
      </c>
      <c r="B118" s="20">
        <v>0.43037819999999999</v>
      </c>
      <c r="C118" s="5">
        <f t="shared" si="16"/>
        <v>25.144019665418117</v>
      </c>
      <c r="D118" s="51">
        <f t="shared" si="13"/>
        <v>10.821437924367252</v>
      </c>
      <c r="E118" s="54">
        <f t="shared" si="9"/>
        <v>0.94460752544271731</v>
      </c>
      <c r="F118" s="55">
        <f t="shared" si="14"/>
        <v>23.751230195833628</v>
      </c>
      <c r="G118" s="56">
        <f t="shared" si="10"/>
        <v>52.685723834080086</v>
      </c>
      <c r="H118" s="57">
        <f t="shared" si="10"/>
        <v>112.39125748710677</v>
      </c>
      <c r="I118" s="55">
        <f t="shared" si="15"/>
        <v>10.2169032478446</v>
      </c>
      <c r="J118" s="56">
        <f t="shared" si="11"/>
        <v>23.72490049876512</v>
      </c>
      <c r="K118" s="57">
        <f t="shared" si="11"/>
        <v>52.629556289109019</v>
      </c>
    </row>
    <row r="119" spans="1:12" x14ac:dyDescent="0.15">
      <c r="A119" s="1">
        <f t="shared" si="12"/>
        <v>115</v>
      </c>
      <c r="B119" s="20">
        <v>0.44780750000000002</v>
      </c>
      <c r="C119" s="5">
        <f t="shared" si="16"/>
        <v>14.322581741050865</v>
      </c>
      <c r="D119" s="51">
        <f t="shared" si="13"/>
        <v>6.413759523005635</v>
      </c>
      <c r="E119" s="54">
        <f t="shared" si="9"/>
        <v>0.94413545771386009</v>
      </c>
      <c r="F119" s="55">
        <f t="shared" si="14"/>
        <v>13.522457267731234</v>
      </c>
      <c r="G119" s="56">
        <f t="shared" si="10"/>
        <v>28.934493638246458</v>
      </c>
      <c r="H119" s="57">
        <f t="shared" si="10"/>
        <v>59.705533653026677</v>
      </c>
      <c r="I119" s="55">
        <f t="shared" si="15"/>
        <v>6.0524315671359874</v>
      </c>
      <c r="J119" s="56">
        <f t="shared" si="11"/>
        <v>13.50799725092052</v>
      </c>
      <c r="K119" s="57">
        <f t="shared" si="11"/>
        <v>28.904655790343902</v>
      </c>
    </row>
    <row r="120" spans="1:12" x14ac:dyDescent="0.15">
      <c r="A120" s="1">
        <f t="shared" si="12"/>
        <v>116</v>
      </c>
      <c r="B120" s="20">
        <v>0.46558440000000001</v>
      </c>
      <c r="C120" s="5">
        <f t="shared" si="16"/>
        <v>7.9088222180452297</v>
      </c>
      <c r="D120" s="51">
        <f t="shared" si="13"/>
        <v>3.6822242470952578</v>
      </c>
      <c r="E120" s="54">
        <f t="shared" si="9"/>
        <v>0.9436636259009098</v>
      </c>
      <c r="F120" s="55">
        <f t="shared" si="14"/>
        <v>7.4632678508862371</v>
      </c>
      <c r="G120" s="56">
        <f t="shared" si="10"/>
        <v>15.412036370515224</v>
      </c>
      <c r="H120" s="57">
        <f t="shared" si="10"/>
        <v>30.771040014780215</v>
      </c>
      <c r="I120" s="55">
        <f t="shared" si="15"/>
        <v>3.4730445621131025</v>
      </c>
      <c r="J120" s="56">
        <f t="shared" si="11"/>
        <v>7.4555656837845321</v>
      </c>
      <c r="K120" s="57">
        <f t="shared" si="11"/>
        <v>15.396658539423381</v>
      </c>
    </row>
    <row r="121" spans="1:12" x14ac:dyDescent="0.15">
      <c r="A121" s="1">
        <f t="shared" si="12"/>
        <v>117</v>
      </c>
      <c r="B121" s="20">
        <v>0.48370829999999998</v>
      </c>
      <c r="C121" s="5">
        <f t="shared" si="16"/>
        <v>4.2265979709499719</v>
      </c>
      <c r="D121" s="51">
        <f t="shared" si="13"/>
        <v>2.0444405193116602</v>
      </c>
      <c r="E121" s="54">
        <f t="shared" si="9"/>
        <v>0.94319202988596695</v>
      </c>
      <c r="F121" s="55">
        <f t="shared" si="14"/>
        <v>3.9864935197322131</v>
      </c>
      <c r="G121" s="56">
        <f t="shared" si="10"/>
        <v>7.9487685196289863</v>
      </c>
      <c r="H121" s="57">
        <f t="shared" si="10"/>
        <v>15.359003644264991</v>
      </c>
      <c r="I121" s="55">
        <f t="shared" si="15"/>
        <v>1.9273363352230739</v>
      </c>
      <c r="J121" s="56">
        <f t="shared" si="11"/>
        <v>3.9825211216714296</v>
      </c>
      <c r="K121" s="57">
        <f t="shared" si="11"/>
        <v>7.9410928556388498</v>
      </c>
    </row>
    <row r="122" spans="1:12" x14ac:dyDescent="0.15">
      <c r="A122" s="1">
        <f t="shared" si="12"/>
        <v>118</v>
      </c>
      <c r="B122" s="20">
        <v>0.50217889999999998</v>
      </c>
      <c r="C122" s="5">
        <f t="shared" si="16"/>
        <v>2.1821574516383118</v>
      </c>
      <c r="D122" s="51">
        <f t="shared" si="13"/>
        <v>1.0958334286905305</v>
      </c>
      <c r="E122" s="54">
        <f t="shared" si="9"/>
        <v>0.94272066955119149</v>
      </c>
      <c r="F122" s="55">
        <f t="shared" si="14"/>
        <v>2.0571649338745912</v>
      </c>
      <c r="G122" s="56">
        <f t="shared" si="10"/>
        <v>3.9622749998967732</v>
      </c>
      <c r="H122" s="57">
        <f t="shared" si="10"/>
        <v>7.4102351246360048</v>
      </c>
      <c r="I122" s="55">
        <f t="shared" si="15"/>
        <v>1.0325485493370459</v>
      </c>
      <c r="J122" s="56">
        <f t="shared" si="11"/>
        <v>2.0551847864483554</v>
      </c>
      <c r="K122" s="57">
        <f t="shared" si="11"/>
        <v>3.9585717339674198</v>
      </c>
    </row>
    <row r="123" spans="1:12" x14ac:dyDescent="0.15">
      <c r="A123" s="1">
        <f t="shared" si="12"/>
        <v>119</v>
      </c>
      <c r="B123" s="20">
        <v>0.52099549999999994</v>
      </c>
      <c r="C123" s="5">
        <f t="shared" si="16"/>
        <v>1.0863240229477813</v>
      </c>
      <c r="D123" s="51">
        <f t="shared" si="13"/>
        <v>0.56596992749769071</v>
      </c>
      <c r="E123" s="54">
        <f t="shared" si="9"/>
        <v>0.94224954477880185</v>
      </c>
      <c r="F123" s="55">
        <f t="shared" si="14"/>
        <v>1.0235883161048236</v>
      </c>
      <c r="G123" s="56">
        <f t="shared" si="10"/>
        <v>1.9051100660221822</v>
      </c>
      <c r="H123" s="57">
        <f t="shared" si="10"/>
        <v>3.4479601247392315</v>
      </c>
      <c r="I123" s="55">
        <f t="shared" si="15"/>
        <v>0.53301839734451839</v>
      </c>
      <c r="J123" s="56">
        <f t="shared" si="11"/>
        <v>1.0226362371113096</v>
      </c>
      <c r="K123" s="57">
        <f t="shared" si="11"/>
        <v>1.9033869475190643</v>
      </c>
    </row>
    <row r="124" spans="1:12" x14ac:dyDescent="0.15">
      <c r="A124" s="1">
        <f t="shared" si="12"/>
        <v>120</v>
      </c>
      <c r="B124" s="20">
        <v>0.54015760000000002</v>
      </c>
      <c r="C124" s="5">
        <f t="shared" si="16"/>
        <v>0.52035409545009059</v>
      </c>
      <c r="D124" s="51">
        <f t="shared" si="13"/>
        <v>0.28107321934849183</v>
      </c>
      <c r="E124" s="54">
        <f t="shared" si="9"/>
        <v>0.94177865545107642</v>
      </c>
      <c r="F124" s="55">
        <f t="shared" si="14"/>
        <v>0.49005838037144739</v>
      </c>
      <c r="G124" s="56">
        <f t="shared" si="10"/>
        <v>0.88152174991735865</v>
      </c>
      <c r="H124" s="57">
        <f t="shared" si="10"/>
        <v>1.5428500587170495</v>
      </c>
      <c r="I124" s="55">
        <f t="shared" si="15"/>
        <v>0.26457647036614507</v>
      </c>
      <c r="J124" s="56">
        <f t="shared" si="11"/>
        <v>0.48961783976679107</v>
      </c>
      <c r="K124" s="57">
        <f t="shared" si="11"/>
        <v>0.88075071040775488</v>
      </c>
    </row>
    <row r="125" spans="1:12" x14ac:dyDescent="0.15">
      <c r="A125" s="1">
        <f t="shared" si="12"/>
        <v>121</v>
      </c>
      <c r="B125" s="20">
        <v>0.55966459999999996</v>
      </c>
      <c r="C125" s="5">
        <f t="shared" si="16"/>
        <v>0.23928087610159873</v>
      </c>
      <c r="D125" s="51">
        <f t="shared" si="13"/>
        <v>0.1339170358110508</v>
      </c>
      <c r="E125" s="54">
        <f t="shared" si="9"/>
        <v>0.94130800145035143</v>
      </c>
      <c r="F125" s="55">
        <f t="shared" si="14"/>
        <v>0.22523700326848506</v>
      </c>
      <c r="G125" s="56">
        <f t="shared" si="10"/>
        <v>0.39146336954591121</v>
      </c>
      <c r="H125" s="57">
        <f t="shared" si="10"/>
        <v>0.66132830879969084</v>
      </c>
      <c r="I125" s="55">
        <f t="shared" si="15"/>
        <v>0.12599418024933068</v>
      </c>
      <c r="J125" s="56">
        <f t="shared" si="11"/>
        <v>0.22504136940064598</v>
      </c>
      <c r="K125" s="57">
        <f t="shared" si="11"/>
        <v>0.3911328706409638</v>
      </c>
    </row>
    <row r="126" spans="1:12" x14ac:dyDescent="0.15">
      <c r="A126" s="1">
        <f t="shared" si="12"/>
        <v>122</v>
      </c>
      <c r="B126" s="20">
        <v>0.57951589999999997</v>
      </c>
      <c r="C126" s="5">
        <f t="shared" si="16"/>
        <v>0.10536384029054793</v>
      </c>
      <c r="D126" s="51">
        <f t="shared" si="13"/>
        <v>6.1060020733433147E-2</v>
      </c>
      <c r="E126" s="54">
        <f t="shared" si="9"/>
        <v>0.94083758265902162</v>
      </c>
      <c r="F126" s="55">
        <f t="shared" si="14"/>
        <v>9.913026079863034E-2</v>
      </c>
      <c r="G126" s="56">
        <f t="shared" si="10"/>
        <v>0.16622636627742615</v>
      </c>
      <c r="H126" s="57">
        <f t="shared" si="10"/>
        <v>0.26986493925377969</v>
      </c>
      <c r="I126" s="55">
        <f t="shared" si="15"/>
        <v>5.7418852877514227E-2</v>
      </c>
      <c r="J126" s="56">
        <f t="shared" si="11"/>
        <v>9.9047189151315301E-2</v>
      </c>
      <c r="K126" s="57">
        <f t="shared" si="11"/>
        <v>0.16609150124031782</v>
      </c>
    </row>
    <row r="127" spans="1:12" x14ac:dyDescent="0.15">
      <c r="A127" s="1">
        <f t="shared" si="12"/>
        <v>123</v>
      </c>
      <c r="B127" s="20">
        <v>0.59971050000000004</v>
      </c>
      <c r="C127" s="5">
        <f t="shared" si="16"/>
        <v>4.4303819557114786E-2</v>
      </c>
      <c r="D127" s="51">
        <f t="shared" si="13"/>
        <v>2.6569465778507089E-2</v>
      </c>
      <c r="E127" s="54">
        <f t="shared" si="9"/>
        <v>0.94036739895954191</v>
      </c>
      <c r="F127" s="55">
        <f t="shared" si="14"/>
        <v>4.1661867560896917E-2</v>
      </c>
      <c r="G127" s="56">
        <f t="shared" si="10"/>
        <v>6.7096105478795798E-2</v>
      </c>
      <c r="H127" s="57">
        <f t="shared" si="10"/>
        <v>0.10363857297635355</v>
      </c>
      <c r="I127" s="55">
        <f t="shared" si="15"/>
        <v>2.4972573139309621E-2</v>
      </c>
      <c r="J127" s="56">
        <f t="shared" si="11"/>
        <v>4.1628336273801067E-2</v>
      </c>
      <c r="K127" s="57">
        <f t="shared" si="11"/>
        <v>6.7044312089002522E-2</v>
      </c>
      <c r="L127" s="9"/>
    </row>
    <row r="128" spans="1:12" x14ac:dyDescent="0.15">
      <c r="A128" s="1">
        <f t="shared" si="12"/>
        <v>124</v>
      </c>
      <c r="B128" s="20">
        <v>0.61445119999999998</v>
      </c>
      <c r="C128" s="5">
        <f t="shared" si="16"/>
        <v>1.7734353778607697E-2</v>
      </c>
      <c r="D128" s="51">
        <f t="shared" si="13"/>
        <v>1.0896894960490034E-2</v>
      </c>
      <c r="E128" s="54">
        <f t="shared" si="9"/>
        <v>0.93989745023442484</v>
      </c>
      <c r="F128" s="55">
        <f t="shared" si="14"/>
        <v>1.6668473898068612E-2</v>
      </c>
      <c r="G128" s="56">
        <f t="shared" si="10"/>
        <v>2.5434237917898884E-2</v>
      </c>
      <c r="H128" s="57">
        <f t="shared" si="10"/>
        <v>3.6542467497557754E-2</v>
      </c>
      <c r="I128" s="55">
        <f t="shared" si="15"/>
        <v>1.0236845366153859E-2</v>
      </c>
      <c r="J128" s="56">
        <f t="shared" si="11"/>
        <v>1.665576313449145E-2</v>
      </c>
      <c r="K128" s="57">
        <f t="shared" si="11"/>
        <v>2.5415975815201455E-2</v>
      </c>
      <c r="L128" s="9"/>
    </row>
    <row r="129" spans="1:12" x14ac:dyDescent="0.15">
      <c r="A129" s="1">
        <f t="shared" si="12"/>
        <v>125</v>
      </c>
      <c r="B129" s="20">
        <v>0.63513500000000001</v>
      </c>
      <c r="C129" s="5">
        <f t="shared" si="16"/>
        <v>6.8374588181176633E-3</v>
      </c>
      <c r="D129" s="51">
        <f t="shared" si="13"/>
        <v>4.3427094064451624E-3</v>
      </c>
      <c r="E129" s="54">
        <f t="shared" si="9"/>
        <v>0.93942773636624166</v>
      </c>
      <c r="F129" s="55">
        <f t="shared" si="14"/>
        <v>6.4232984600016748E-3</v>
      </c>
      <c r="G129" s="56">
        <f t="shared" si="10"/>
        <v>8.7657640198302716E-3</v>
      </c>
      <c r="H129" s="57">
        <f t="shared" si="10"/>
        <v>1.110822957965887E-2</v>
      </c>
      <c r="I129" s="55">
        <f t="shared" si="15"/>
        <v>4.0776228559651828E-3</v>
      </c>
      <c r="J129" s="56">
        <f t="shared" si="11"/>
        <v>6.4189177683375929E-3</v>
      </c>
      <c r="K129" s="57">
        <f t="shared" si="11"/>
        <v>8.7602126807100038E-3</v>
      </c>
      <c r="L129" s="9"/>
    </row>
    <row r="130" spans="1:12" x14ac:dyDescent="0.15">
      <c r="A130" s="7">
        <f t="shared" si="12"/>
        <v>126</v>
      </c>
      <c r="B130" s="21">
        <v>1</v>
      </c>
      <c r="C130" s="8">
        <f t="shared" si="16"/>
        <v>2.4947494116725013E-3</v>
      </c>
      <c r="D130" s="52">
        <f t="shared" si="13"/>
        <v>2.4947494116725013E-3</v>
      </c>
      <c r="E130" s="58">
        <f t="shared" si="9"/>
        <v>0.93895825723762316</v>
      </c>
      <c r="F130" s="59">
        <f t="shared" si="14"/>
        <v>2.3424655598285977E-3</v>
      </c>
      <c r="G130" s="60">
        <f>G131+F130</f>
        <v>2.3424655598285977E-3</v>
      </c>
      <c r="H130" s="61">
        <f>H131+G130</f>
        <v>2.3424655598285977E-3</v>
      </c>
      <c r="I130" s="59">
        <f t="shared" si="15"/>
        <v>2.3412949123724105E-3</v>
      </c>
      <c r="J130" s="60">
        <f>J131+I130</f>
        <v>2.3412949123724105E-3</v>
      </c>
      <c r="K130" s="61">
        <f>K131+J130</f>
        <v>2.3412949123724105E-3</v>
      </c>
      <c r="L130" s="9"/>
    </row>
    <row r="131" spans="1:12" ht="14" thickBot="1" x14ac:dyDescent="0.2">
      <c r="A131" s="2">
        <f t="shared" si="12"/>
        <v>127</v>
      </c>
      <c r="B131" s="22">
        <v>1</v>
      </c>
      <c r="C131" s="6">
        <f t="shared" si="16"/>
        <v>0</v>
      </c>
      <c r="D131" s="53">
        <v>0</v>
      </c>
      <c r="E131" s="62">
        <f t="shared" si="9"/>
        <v>0.93848901273125729</v>
      </c>
      <c r="F131" s="63">
        <f t="shared" si="14"/>
        <v>0</v>
      </c>
      <c r="G131" s="64">
        <f>F131</f>
        <v>0</v>
      </c>
      <c r="H131" s="65">
        <f>G131</f>
        <v>0</v>
      </c>
      <c r="I131" s="66">
        <v>0</v>
      </c>
      <c r="J131" s="64">
        <f>I131</f>
        <v>0</v>
      </c>
      <c r="K131" s="65">
        <f>J131</f>
        <v>0</v>
      </c>
    </row>
    <row r="132" spans="1:12" x14ac:dyDescent="0.15">
      <c r="C132" s="11"/>
      <c r="D132" s="11" t="b">
        <f>(D130=C130)</f>
        <v>1</v>
      </c>
      <c r="E132" s="10"/>
      <c r="H132" s="46"/>
      <c r="I132" s="47" t="b">
        <f>(I130=F130/(1+D1))</f>
        <v>1</v>
      </c>
    </row>
    <row r="133" spans="1:12" x14ac:dyDescent="0.15">
      <c r="C133" s="11" t="b">
        <f>(SUM(C131)=0)</f>
        <v>1</v>
      </c>
      <c r="D133" s="11" t="b">
        <f>(SUM(D131)=0)</f>
        <v>1</v>
      </c>
      <c r="F133" s="48" t="b">
        <f>AND(F130=G130,G130=H130)</f>
        <v>1</v>
      </c>
      <c r="H133" s="41"/>
      <c r="I133" s="49" t="b">
        <f>AND(I130=J130,J130=K130)</f>
        <v>1</v>
      </c>
    </row>
    <row r="134" spans="1:12" x14ac:dyDescent="0.15">
      <c r="F134" s="48" t="b">
        <f>(SUM(F131:H131)=0)</f>
        <v>1</v>
      </c>
      <c r="H134" s="41"/>
      <c r="I134" s="49" t="b">
        <f>(SUM(I131:K131)=0)</f>
        <v>1</v>
      </c>
    </row>
  </sheetData>
  <pageMargins left="0.78740157480314965" right="0.78740157480314965" top="0.98425196850393704" bottom="0.98425196850393704" header="0.51181102362204722" footer="0.51181102362204722"/>
  <pageSetup scale="75" fitToHeight="2" orientation="portrait" r:id="rId1"/>
  <headerFooter alignWithMargins="0">
    <oddFooter>&amp;L&amp;A&amp;C&amp;P von &amp;N</oddFooter>
  </headerFooter>
  <customProperties>
    <customPr name="_pios_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>
    <pageSetUpPr fitToPage="1"/>
  </sheetPr>
  <dimension ref="A1:L134"/>
  <sheetViews>
    <sheetView tabSelected="1" zoomScale="70" zoomScaleNormal="7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10" defaultColWidth="9.1640625" defaultRowHeight="13" x14ac:dyDescent="0.15"/>
  <cols>
    <col min="1" max="1" width="9.33203125" bestFit="1" customWidth="1"/>
    <col min="2" max="2" width="12" bestFit="1" customWidth="1"/>
    <col min="3" max="3" width="11.5" bestFit="1" customWidth="1"/>
    <col min="4" max="4" width="9.5" bestFit="1" customWidth="1"/>
    <col min="5" max="5" width="6.1640625" bestFit="1" customWidth="1"/>
    <col min="6" max="6" width="11.5" style="42" bestFit="1" customWidth="1"/>
    <col min="7" max="7" width="13" style="42" bestFit="1" customWidth="1"/>
    <col min="8" max="8" width="15" style="42" bestFit="1" customWidth="1"/>
    <col min="9" max="9" width="9.5" style="42" bestFit="1" customWidth="1"/>
    <col min="10" max="10" width="10.5" style="42" bestFit="1" customWidth="1"/>
    <col min="11" max="11" width="13" style="42" bestFit="1" customWidth="1"/>
  </cols>
  <sheetData>
    <row r="1" spans="1:11" ht="16" x14ac:dyDescent="0.2">
      <c r="A1" s="34" t="s">
        <v>23</v>
      </c>
      <c r="C1" s="24" t="s">
        <v>6</v>
      </c>
      <c r="D1" s="39">
        <v>5.0000000000000001E-4</v>
      </c>
    </row>
    <row r="2" spans="1:11" ht="14" thickBot="1" x14ac:dyDescent="0.2">
      <c r="A2" s="50">
        <v>1</v>
      </c>
      <c r="B2" s="50">
        <f>A2+1</f>
        <v>2</v>
      </c>
      <c r="C2" s="50">
        <f t="shared" ref="C2:K2" si="0">B2+1</f>
        <v>3</v>
      </c>
      <c r="D2" s="50">
        <f t="shared" si="0"/>
        <v>4</v>
      </c>
      <c r="E2" s="50">
        <f t="shared" si="0"/>
        <v>5</v>
      </c>
      <c r="F2" s="50">
        <f t="shared" si="0"/>
        <v>6</v>
      </c>
      <c r="G2" s="50">
        <f t="shared" si="0"/>
        <v>7</v>
      </c>
      <c r="H2" s="50">
        <f t="shared" si="0"/>
        <v>8</v>
      </c>
      <c r="I2" s="50">
        <f t="shared" si="0"/>
        <v>9</v>
      </c>
      <c r="J2" s="50">
        <f t="shared" si="0"/>
        <v>10</v>
      </c>
      <c r="K2" s="50">
        <f t="shared" si="0"/>
        <v>11</v>
      </c>
    </row>
    <row r="3" spans="1:11" ht="17" thickBot="1" x14ac:dyDescent="0.25">
      <c r="A3" s="29" t="s">
        <v>0</v>
      </c>
      <c r="B3" s="30" t="s">
        <v>1</v>
      </c>
      <c r="C3" s="29" t="s">
        <v>5</v>
      </c>
      <c r="D3" s="31" t="s">
        <v>8</v>
      </c>
      <c r="E3" s="32" t="s">
        <v>7</v>
      </c>
      <c r="F3" s="43" t="s">
        <v>9</v>
      </c>
      <c r="G3" s="44" t="s">
        <v>10</v>
      </c>
      <c r="H3" s="45" t="s">
        <v>11</v>
      </c>
      <c r="I3" s="43" t="s">
        <v>12</v>
      </c>
      <c r="J3" s="44" t="s">
        <v>14</v>
      </c>
      <c r="K3" s="45" t="s">
        <v>13</v>
      </c>
    </row>
    <row r="4" spans="1:11" x14ac:dyDescent="0.15">
      <c r="A4" s="1">
        <v>0</v>
      </c>
      <c r="B4" s="20">
        <v>5.3379999999998836E-3</v>
      </c>
      <c r="C4" s="23">
        <v>100000</v>
      </c>
      <c r="D4" s="51">
        <f>C4-C5</f>
        <v>533.79999999998836</v>
      </c>
      <c r="E4" s="54">
        <f t="shared" ref="E4:E67" si="1">(1+$D$1)^(-$A4)</f>
        <v>1</v>
      </c>
      <c r="F4" s="55">
        <f>C4*E4</f>
        <v>100000</v>
      </c>
      <c r="G4" s="56">
        <f t="shared" ref="G4:H67" si="2">G5+F4</f>
        <v>8030678.9311565207</v>
      </c>
      <c r="H4" s="57">
        <f t="shared" si="2"/>
        <v>343126755.23839653</v>
      </c>
      <c r="I4" s="55">
        <f>D4*E5</f>
        <v>533.53323338329676</v>
      </c>
      <c r="J4" s="56">
        <f t="shared" ref="J4:K67" si="3">J5+I4</f>
        <v>95986.66720082151</v>
      </c>
      <c r="K4" s="57">
        <f t="shared" si="3"/>
        <v>7859201.2923567323</v>
      </c>
    </row>
    <row r="5" spans="1:11" x14ac:dyDescent="0.15">
      <c r="A5" s="1">
        <f t="shared" ref="A5:A68" si="4">1+A4</f>
        <v>1</v>
      </c>
      <c r="B5" s="20">
        <v>4.0310000000003273E-4</v>
      </c>
      <c r="C5" s="5">
        <f>+C4*(1-$B4)</f>
        <v>99466.200000000012</v>
      </c>
      <c r="D5" s="51">
        <f t="shared" ref="D5:D68" si="5">C5-C6</f>
        <v>40.094825220003258</v>
      </c>
      <c r="E5" s="54">
        <f t="shared" si="1"/>
        <v>0.99950024987506247</v>
      </c>
      <c r="F5" s="55">
        <f t="shared" ref="F5:F68" si="6">C5*E5</f>
        <v>99416.491754122952</v>
      </c>
      <c r="G5" s="56">
        <f t="shared" si="2"/>
        <v>7930678.9311565207</v>
      </c>
      <c r="H5" s="57">
        <f t="shared" si="2"/>
        <v>335096076.30724001</v>
      </c>
      <c r="I5" s="55">
        <f t="shared" ref="I5:I68" si="7">D5*E6</f>
        <v>40.054760445867281</v>
      </c>
      <c r="J5" s="56">
        <f t="shared" si="3"/>
        <v>95453.133967438218</v>
      </c>
      <c r="K5" s="57">
        <f t="shared" si="3"/>
        <v>7763214.6251559108</v>
      </c>
    </row>
    <row r="6" spans="1:11" x14ac:dyDescent="0.15">
      <c r="A6" s="1">
        <f t="shared" si="4"/>
        <v>2</v>
      </c>
      <c r="B6" s="20">
        <v>3.7030000000001101E-4</v>
      </c>
      <c r="C6" s="5">
        <f t="shared" ref="C6:C69" si="8">+C5*(1-$B5)</f>
        <v>99426.105174780008</v>
      </c>
      <c r="D6" s="51">
        <f t="shared" si="5"/>
        <v>36.81748674622213</v>
      </c>
      <c r="E6" s="54">
        <f t="shared" si="1"/>
        <v>0.99900074950031237</v>
      </c>
      <c r="F6" s="55">
        <f t="shared" si="6"/>
        <v>99326.753589502114</v>
      </c>
      <c r="G6" s="56">
        <f t="shared" si="2"/>
        <v>7831262.4394023977</v>
      </c>
      <c r="H6" s="57">
        <f t="shared" si="2"/>
        <v>327165397.37608349</v>
      </c>
      <c r="I6" s="55">
        <f t="shared" si="7"/>
        <v>36.762315696345553</v>
      </c>
      <c r="J6" s="56">
        <f t="shared" si="3"/>
        <v>95413.079206992348</v>
      </c>
      <c r="K6" s="57">
        <f t="shared" si="3"/>
        <v>7667761.4911884731</v>
      </c>
    </row>
    <row r="7" spans="1:11" x14ac:dyDescent="0.15">
      <c r="A7" s="1">
        <f t="shared" si="4"/>
        <v>3</v>
      </c>
      <c r="B7" s="20">
        <v>3.4359999999997653E-4</v>
      </c>
      <c r="C7" s="5">
        <f t="shared" si="8"/>
        <v>99389.287688033786</v>
      </c>
      <c r="D7" s="51">
        <f t="shared" si="5"/>
        <v>34.150159249606077</v>
      </c>
      <c r="E7" s="54">
        <f t="shared" si="1"/>
        <v>0.99850149875093686</v>
      </c>
      <c r="F7" s="55">
        <f t="shared" si="6"/>
        <v>99240.352716289766</v>
      </c>
      <c r="G7" s="56">
        <f t="shared" si="2"/>
        <v>7731935.6858128952</v>
      </c>
      <c r="H7" s="57">
        <f t="shared" si="2"/>
        <v>319334134.93668109</v>
      </c>
      <c r="I7" s="55">
        <f t="shared" si="7"/>
        <v>34.081944221204239</v>
      </c>
      <c r="J7" s="56">
        <f t="shared" si="3"/>
        <v>95376.316891295995</v>
      </c>
      <c r="K7" s="57">
        <f t="shared" si="3"/>
        <v>7572348.4119814811</v>
      </c>
    </row>
    <row r="8" spans="1:11" x14ac:dyDescent="0.15">
      <c r="A8" s="1">
        <f t="shared" si="4"/>
        <v>4</v>
      </c>
      <c r="B8" s="20">
        <v>3.2339999999993034E-4</v>
      </c>
      <c r="C8" s="5">
        <f t="shared" si="8"/>
        <v>99355.13752878418</v>
      </c>
      <c r="D8" s="51">
        <f t="shared" si="5"/>
        <v>32.131451476801885</v>
      </c>
      <c r="E8" s="54">
        <f t="shared" si="1"/>
        <v>0.99800249750218584</v>
      </c>
      <c r="F8" s="55">
        <f t="shared" si="6"/>
        <v>99156.675393399768</v>
      </c>
      <c r="G8" s="56">
        <f t="shared" si="2"/>
        <v>7632695.3330966057</v>
      </c>
      <c r="H8" s="57">
        <f t="shared" si="2"/>
        <v>311602199.2508682</v>
      </c>
      <c r="I8" s="55">
        <f t="shared" si="7"/>
        <v>32.051243200618273</v>
      </c>
      <c r="J8" s="56">
        <f t="shared" si="3"/>
        <v>95342.234947074787</v>
      </c>
      <c r="K8" s="57">
        <f t="shared" si="3"/>
        <v>7476972.0950901853</v>
      </c>
    </row>
    <row r="9" spans="1:11" x14ac:dyDescent="0.15">
      <c r="A9" s="1">
        <f t="shared" si="4"/>
        <v>5</v>
      </c>
      <c r="B9" s="20">
        <v>3.1069999999994727E-4</v>
      </c>
      <c r="C9" s="5">
        <f t="shared" si="8"/>
        <v>99323.006077307378</v>
      </c>
      <c r="D9" s="51">
        <f t="shared" si="5"/>
        <v>30.859657988214167</v>
      </c>
      <c r="E9" s="54">
        <f t="shared" si="1"/>
        <v>0.99750374562937127</v>
      </c>
      <c r="F9" s="55">
        <f t="shared" si="6"/>
        <v>99075.070589282914</v>
      </c>
      <c r="G9" s="56">
        <f t="shared" si="2"/>
        <v>7533538.6577032059</v>
      </c>
      <c r="H9" s="57">
        <f t="shared" si="2"/>
        <v>303969503.91777158</v>
      </c>
      <c r="I9" s="55">
        <f t="shared" si="7"/>
        <v>30.767240811679141</v>
      </c>
      <c r="J9" s="56">
        <f t="shared" si="3"/>
        <v>95310.183703874165</v>
      </c>
      <c r="K9" s="57">
        <f t="shared" si="3"/>
        <v>7381629.8601431102</v>
      </c>
    </row>
    <row r="10" spans="1:11" x14ac:dyDescent="0.15">
      <c r="A10" s="1">
        <f t="shared" si="4"/>
        <v>6</v>
      </c>
      <c r="B10" s="20">
        <v>3.0680000000010314E-4</v>
      </c>
      <c r="C10" s="5">
        <f t="shared" si="8"/>
        <v>99292.146419319164</v>
      </c>
      <c r="D10" s="51">
        <f t="shared" si="5"/>
        <v>30.462830521457363</v>
      </c>
      <c r="E10" s="54">
        <f t="shared" si="1"/>
        <v>0.99700524300786741</v>
      </c>
      <c r="F10" s="55">
        <f t="shared" si="6"/>
        <v>98994.790569566059</v>
      </c>
      <c r="G10" s="56">
        <f t="shared" si="2"/>
        <v>7434463.5871139234</v>
      </c>
      <c r="H10" s="57">
        <f t="shared" si="2"/>
        <v>296435965.26006836</v>
      </c>
      <c r="I10" s="55">
        <f t="shared" si="7"/>
        <v>30.356423534985581</v>
      </c>
      <c r="J10" s="56">
        <f t="shared" si="3"/>
        <v>95279.416463062487</v>
      </c>
      <c r="K10" s="57">
        <f t="shared" si="3"/>
        <v>7286319.6764392359</v>
      </c>
    </row>
    <row r="11" spans="1:11" x14ac:dyDescent="0.15">
      <c r="A11" s="1">
        <f t="shared" si="4"/>
        <v>7</v>
      </c>
      <c r="B11" s="20">
        <v>3.1319999999996484E-4</v>
      </c>
      <c r="C11" s="5">
        <f t="shared" si="8"/>
        <v>99261.683588797707</v>
      </c>
      <c r="D11" s="51">
        <f t="shared" si="5"/>
        <v>31.088759300007951</v>
      </c>
      <c r="E11" s="54">
        <f t="shared" si="1"/>
        <v>0.99650698951311067</v>
      </c>
      <c r="F11" s="55">
        <f t="shared" si="6"/>
        <v>98914.96148707575</v>
      </c>
      <c r="G11" s="56">
        <f t="shared" si="2"/>
        <v>7335468.7965443572</v>
      </c>
      <c r="H11" s="57">
        <f t="shared" si="2"/>
        <v>289001501.67295444</v>
      </c>
      <c r="I11" s="55">
        <f t="shared" si="7"/>
        <v>30.964683595950675</v>
      </c>
      <c r="J11" s="56">
        <f t="shared" si="3"/>
        <v>95249.060039527496</v>
      </c>
      <c r="K11" s="57">
        <f t="shared" si="3"/>
        <v>7191040.2599761738</v>
      </c>
    </row>
    <row r="12" spans="1:11" x14ac:dyDescent="0.15">
      <c r="A12" s="1">
        <f t="shared" si="4"/>
        <v>8</v>
      </c>
      <c r="B12" s="20">
        <v>3.3150000000008601E-4</v>
      </c>
      <c r="C12" s="5">
        <f t="shared" si="8"/>
        <v>99230.594829497699</v>
      </c>
      <c r="D12" s="51">
        <f t="shared" si="5"/>
        <v>32.89494218598702</v>
      </c>
      <c r="E12" s="54">
        <f t="shared" si="1"/>
        <v>0.99600898502060053</v>
      </c>
      <c r="F12" s="55">
        <f t="shared" si="6"/>
        <v>98834.564039118457</v>
      </c>
      <c r="G12" s="56">
        <f t="shared" si="2"/>
        <v>7236553.8350572819</v>
      </c>
      <c r="H12" s="57">
        <f t="shared" si="2"/>
        <v>281666032.87641007</v>
      </c>
      <c r="I12" s="55">
        <f t="shared" si="7"/>
        <v>32.747284336807866</v>
      </c>
      <c r="J12" s="56">
        <f t="shared" si="3"/>
        <v>95218.095355931539</v>
      </c>
      <c r="K12" s="57">
        <f t="shared" si="3"/>
        <v>7095791.199936646</v>
      </c>
    </row>
    <row r="13" spans="1:11" x14ac:dyDescent="0.15">
      <c r="A13" s="1">
        <f t="shared" si="4"/>
        <v>9</v>
      </c>
      <c r="B13" s="20">
        <v>3.6290000000006704E-4</v>
      </c>
      <c r="C13" s="5">
        <f t="shared" si="8"/>
        <v>99197.699887311712</v>
      </c>
      <c r="D13" s="51">
        <f t="shared" si="5"/>
        <v>35.998845289112069</v>
      </c>
      <c r="E13" s="54">
        <f t="shared" si="1"/>
        <v>0.99551122940589765</v>
      </c>
      <c r="F13" s="55">
        <f t="shared" si="6"/>
        <v>98752.424169054953</v>
      </c>
      <c r="G13" s="56">
        <f t="shared" si="2"/>
        <v>7137719.2710181633</v>
      </c>
      <c r="H13" s="57">
        <f t="shared" si="2"/>
        <v>274429479.04135281</v>
      </c>
      <c r="I13" s="55">
        <f t="shared" si="7"/>
        <v>35.819345058427444</v>
      </c>
      <c r="J13" s="56">
        <f t="shared" si="3"/>
        <v>95185.348071594737</v>
      </c>
      <c r="K13" s="57">
        <f t="shared" si="3"/>
        <v>7000573.1045807144</v>
      </c>
    </row>
    <row r="14" spans="1:11" x14ac:dyDescent="0.15">
      <c r="A14" s="1">
        <f t="shared" si="4"/>
        <v>10</v>
      </c>
      <c r="B14" s="20">
        <v>4.0790000000001859E-4</v>
      </c>
      <c r="C14" s="5">
        <f t="shared" si="8"/>
        <v>99161.7010420226</v>
      </c>
      <c r="D14" s="51">
        <f t="shared" si="5"/>
        <v>40.448057855042862</v>
      </c>
      <c r="E14" s="54">
        <f t="shared" si="1"/>
        <v>0.99501372254462528</v>
      </c>
      <c r="F14" s="55">
        <f t="shared" si="6"/>
        <v>98667.253287680156</v>
      </c>
      <c r="G14" s="56">
        <f t="shared" si="2"/>
        <v>7038966.8468491081</v>
      </c>
      <c r="H14" s="57">
        <f t="shared" si="2"/>
        <v>267291759.77033463</v>
      </c>
      <c r="I14" s="55">
        <f t="shared" si="7"/>
        <v>40.22625948630342</v>
      </c>
      <c r="J14" s="56">
        <f t="shared" si="3"/>
        <v>95149.528726536315</v>
      </c>
      <c r="K14" s="57">
        <f t="shared" si="3"/>
        <v>6905387.7565091196</v>
      </c>
    </row>
    <row r="15" spans="1:11" x14ac:dyDescent="0.15">
      <c r="A15" s="1">
        <f t="shared" si="4"/>
        <v>11</v>
      </c>
      <c r="B15" s="20">
        <v>4.6550000000007675E-4</v>
      </c>
      <c r="C15" s="5">
        <f t="shared" si="8"/>
        <v>99121.252984167557</v>
      </c>
      <c r="D15" s="51">
        <f t="shared" si="5"/>
        <v>46.140943264137604</v>
      </c>
      <c r="E15" s="54">
        <f t="shared" si="1"/>
        <v>0.9945164643124691</v>
      </c>
      <c r="F15" s="55">
        <f t="shared" si="6"/>
        <v>98577.718056036101</v>
      </c>
      <c r="G15" s="56">
        <f t="shared" si="2"/>
        <v>6940299.5935614277</v>
      </c>
      <c r="H15" s="57">
        <f t="shared" si="2"/>
        <v>260252792.92348552</v>
      </c>
      <c r="I15" s="55">
        <f t="shared" si="7"/>
        <v>45.864995257463626</v>
      </c>
      <c r="J15" s="56">
        <f t="shared" si="3"/>
        <v>95109.302467050016</v>
      </c>
      <c r="K15" s="57">
        <f t="shared" si="3"/>
        <v>6810238.2277825838</v>
      </c>
    </row>
    <row r="16" spans="1:11" x14ac:dyDescent="0.15">
      <c r="A16" s="1">
        <f t="shared" si="4"/>
        <v>12</v>
      </c>
      <c r="B16" s="20">
        <v>5.3349999999991013E-4</v>
      </c>
      <c r="C16" s="5">
        <f t="shared" si="8"/>
        <v>99075.112040903419</v>
      </c>
      <c r="D16" s="51">
        <f t="shared" si="5"/>
        <v>52.856572273813072</v>
      </c>
      <c r="E16" s="54">
        <f t="shared" si="1"/>
        <v>0.99401945458517638</v>
      </c>
      <c r="F16" s="55">
        <f t="shared" si="6"/>
        <v>98482.588833864051</v>
      </c>
      <c r="G16" s="56">
        <f t="shared" si="2"/>
        <v>6841721.8755053915</v>
      </c>
      <c r="H16" s="57">
        <f t="shared" si="2"/>
        <v>253312493.32992408</v>
      </c>
      <c r="I16" s="55">
        <f t="shared" si="7"/>
        <v>52.514204040837214</v>
      </c>
      <c r="J16" s="56">
        <f t="shared" si="3"/>
        <v>95063.437471792553</v>
      </c>
      <c r="K16" s="57">
        <f t="shared" si="3"/>
        <v>6715128.9253155338</v>
      </c>
    </row>
    <row r="17" spans="1:11" x14ac:dyDescent="0.15">
      <c r="A17" s="1">
        <f t="shared" si="4"/>
        <v>13</v>
      </c>
      <c r="B17" s="20">
        <v>6.0859999999993532E-4</v>
      </c>
      <c r="C17" s="5">
        <f t="shared" si="8"/>
        <v>99022.255468629606</v>
      </c>
      <c r="D17" s="51">
        <f t="shared" si="5"/>
        <v>60.264944678201573</v>
      </c>
      <c r="E17" s="54">
        <f t="shared" si="1"/>
        <v>0.99352269323855724</v>
      </c>
      <c r="F17" s="55">
        <f t="shared" si="6"/>
        <v>98380.857943749346</v>
      </c>
      <c r="G17" s="56">
        <f t="shared" si="2"/>
        <v>6743239.2866715277</v>
      </c>
      <c r="H17" s="57">
        <f t="shared" si="2"/>
        <v>246470771.45441869</v>
      </c>
      <c r="I17" s="55">
        <f t="shared" si="7"/>
        <v>59.844667810654173</v>
      </c>
      <c r="J17" s="56">
        <f t="shared" si="3"/>
        <v>95010.923267751714</v>
      </c>
      <c r="K17" s="57">
        <f t="shared" si="3"/>
        <v>6620065.4878437417</v>
      </c>
    </row>
    <row r="18" spans="1:11" x14ac:dyDescent="0.15">
      <c r="A18" s="1">
        <f t="shared" si="4"/>
        <v>14</v>
      </c>
      <c r="B18" s="20">
        <v>6.85900000000019E-4</v>
      </c>
      <c r="C18" s="5">
        <f t="shared" si="8"/>
        <v>98961.990523951405</v>
      </c>
      <c r="D18" s="51">
        <f t="shared" si="5"/>
        <v>67.878029300380149</v>
      </c>
      <c r="E18" s="54">
        <f t="shared" si="1"/>
        <v>0.99302618014848321</v>
      </c>
      <c r="F18" s="55">
        <f t="shared" si="6"/>
        <v>98271.847429889851</v>
      </c>
      <c r="G18" s="56">
        <f t="shared" si="2"/>
        <v>6644858.4287277786</v>
      </c>
      <c r="H18" s="57">
        <f t="shared" si="2"/>
        <v>239727532.16774717</v>
      </c>
      <c r="I18" s="55">
        <f t="shared" si="7"/>
        <v>67.370974664830882</v>
      </c>
      <c r="J18" s="56">
        <f t="shared" si="3"/>
        <v>94951.078599941058</v>
      </c>
      <c r="K18" s="57">
        <f t="shared" si="3"/>
        <v>6525054.5645759897</v>
      </c>
    </row>
    <row r="19" spans="1:11" x14ac:dyDescent="0.15">
      <c r="A19" s="1">
        <f t="shared" si="4"/>
        <v>15</v>
      </c>
      <c r="B19" s="20">
        <v>7.5970000000002676E-4</v>
      </c>
      <c r="C19" s="5">
        <f t="shared" si="8"/>
        <v>98894.112494651024</v>
      </c>
      <c r="D19" s="51">
        <f t="shared" si="5"/>
        <v>75.129857262189034</v>
      </c>
      <c r="E19" s="54">
        <f t="shared" si="1"/>
        <v>0.99252991519088751</v>
      </c>
      <c r="F19" s="55">
        <f t="shared" si="6"/>
        <v>98155.365087194077</v>
      </c>
      <c r="G19" s="56">
        <f t="shared" si="2"/>
        <v>6546586.5812978884</v>
      </c>
      <c r="H19" s="57">
        <f t="shared" si="2"/>
        <v>233082673.73901939</v>
      </c>
      <c r="I19" s="55">
        <f t="shared" si="7"/>
        <v>74.531365174156889</v>
      </c>
      <c r="J19" s="56">
        <f t="shared" si="3"/>
        <v>94883.707625276234</v>
      </c>
      <c r="K19" s="57">
        <f t="shared" si="3"/>
        <v>6430103.4859760487</v>
      </c>
    </row>
    <row r="20" spans="1:11" x14ac:dyDescent="0.15">
      <c r="A20" s="1">
        <f t="shared" si="4"/>
        <v>16</v>
      </c>
      <c r="B20" s="20">
        <v>8.2400000000008985E-4</v>
      </c>
      <c r="C20" s="5">
        <f t="shared" si="8"/>
        <v>98818.982637388835</v>
      </c>
      <c r="D20" s="51">
        <f t="shared" si="5"/>
        <v>81.426841693217284</v>
      </c>
      <c r="E20" s="54">
        <f t="shared" si="1"/>
        <v>0.99203389824176669</v>
      </c>
      <c r="F20" s="55">
        <f t="shared" si="6"/>
        <v>98031.780566054309</v>
      </c>
      <c r="G20" s="56">
        <f t="shared" si="2"/>
        <v>6448431.2162106941</v>
      </c>
      <c r="H20" s="57">
        <f t="shared" si="2"/>
        <v>226536087.15772152</v>
      </c>
      <c r="I20" s="55">
        <f t="shared" si="7"/>
        <v>80.737818277298928</v>
      </c>
      <c r="J20" s="56">
        <f t="shared" si="3"/>
        <v>94809.176260102075</v>
      </c>
      <c r="K20" s="57">
        <f t="shared" si="3"/>
        <v>6335219.7783507723</v>
      </c>
    </row>
    <row r="21" spans="1:11" x14ac:dyDescent="0.15">
      <c r="A21" s="1">
        <f t="shared" si="4"/>
        <v>17</v>
      </c>
      <c r="B21" s="20">
        <v>8.7279999999997156E-4</v>
      </c>
      <c r="C21" s="5">
        <f t="shared" si="8"/>
        <v>98737.555795695618</v>
      </c>
      <c r="D21" s="51">
        <f t="shared" si="5"/>
        <v>86.178138698480325</v>
      </c>
      <c r="E21" s="54">
        <f t="shared" si="1"/>
        <v>0.99153812917717832</v>
      </c>
      <c r="F21" s="55">
        <f t="shared" si="6"/>
        <v>97902.051353191287</v>
      </c>
      <c r="G21" s="56">
        <f t="shared" si="2"/>
        <v>6350399.4356446397</v>
      </c>
      <c r="H21" s="57">
        <f t="shared" si="2"/>
        <v>220087655.94151083</v>
      </c>
      <c r="I21" s="55">
        <f t="shared" si="7"/>
        <v>85.406207317403869</v>
      </c>
      <c r="J21" s="56">
        <f t="shared" si="3"/>
        <v>94728.438441824779</v>
      </c>
      <c r="K21" s="57">
        <f t="shared" si="3"/>
        <v>6240410.6020906707</v>
      </c>
    </row>
    <row r="22" spans="1:11" x14ac:dyDescent="0.15">
      <c r="A22" s="1">
        <f t="shared" si="4"/>
        <v>18</v>
      </c>
      <c r="B22" s="20">
        <v>9.0119999999997377E-4</v>
      </c>
      <c r="C22" s="5">
        <f t="shared" si="8"/>
        <v>98651.377656997138</v>
      </c>
      <c r="D22" s="51">
        <f t="shared" si="5"/>
        <v>88.904621544483234</v>
      </c>
      <c r="E22" s="54">
        <f t="shared" si="1"/>
        <v>0.99104260787324161</v>
      </c>
      <c r="F22" s="55">
        <f t="shared" si="6"/>
        <v>97767.718583478476</v>
      </c>
      <c r="G22" s="56">
        <f t="shared" si="2"/>
        <v>6252497.3842914486</v>
      </c>
      <c r="H22" s="57">
        <f t="shared" si="2"/>
        <v>213737256.5058662</v>
      </c>
      <c r="I22" s="55">
        <f t="shared" si="7"/>
        <v>88.064235869493501</v>
      </c>
      <c r="J22" s="56">
        <f t="shared" si="3"/>
        <v>94643.03223450738</v>
      </c>
      <c r="K22" s="57">
        <f t="shared" si="3"/>
        <v>6145682.1636488456</v>
      </c>
    </row>
    <row r="23" spans="1:11" x14ac:dyDescent="0.15">
      <c r="A23" s="1">
        <f t="shared" si="4"/>
        <v>19</v>
      </c>
      <c r="B23" s="20">
        <v>9.05900000000043E-4</v>
      </c>
      <c r="C23" s="5">
        <f t="shared" si="8"/>
        <v>98562.473035452655</v>
      </c>
      <c r="D23" s="51">
        <f t="shared" si="5"/>
        <v>89.287744322820799</v>
      </c>
      <c r="E23" s="54">
        <f t="shared" si="1"/>
        <v>0.9905473342061385</v>
      </c>
      <c r="F23" s="55">
        <f t="shared" si="6"/>
        <v>97630.794918032028</v>
      </c>
      <c r="G23" s="56">
        <f t="shared" si="2"/>
        <v>6154729.66570797</v>
      </c>
      <c r="H23" s="57">
        <f t="shared" si="2"/>
        <v>207484759.12157476</v>
      </c>
      <c r="I23" s="55">
        <f t="shared" si="7"/>
        <v>88.399537347575631</v>
      </c>
      <c r="J23" s="56">
        <f t="shared" si="3"/>
        <v>94554.967998637891</v>
      </c>
      <c r="K23" s="57">
        <f t="shared" si="3"/>
        <v>6051039.131414338</v>
      </c>
    </row>
    <row r="24" spans="1:11" x14ac:dyDescent="0.15">
      <c r="A24" s="1">
        <f t="shared" si="4"/>
        <v>20</v>
      </c>
      <c r="B24" s="20">
        <v>8.8639999999995931E-4</v>
      </c>
      <c r="C24" s="5">
        <f t="shared" si="8"/>
        <v>98473.185291129834</v>
      </c>
      <c r="D24" s="51">
        <f t="shared" si="5"/>
        <v>87.286631442053476</v>
      </c>
      <c r="E24" s="54">
        <f t="shared" si="1"/>
        <v>0.99005230805211242</v>
      </c>
      <c r="F24" s="55">
        <f t="shared" si="6"/>
        <v>97493.604378726421</v>
      </c>
      <c r="G24" s="56">
        <f t="shared" si="2"/>
        <v>6057098.8707899377</v>
      </c>
      <c r="H24" s="57">
        <f t="shared" si="2"/>
        <v>201330029.45586678</v>
      </c>
      <c r="I24" s="55">
        <f t="shared" si="7"/>
        <v>86.375143349624338</v>
      </c>
      <c r="J24" s="56">
        <f t="shared" si="3"/>
        <v>94466.568461290313</v>
      </c>
      <c r="K24" s="57">
        <f t="shared" si="3"/>
        <v>5956484.1634157002</v>
      </c>
    </row>
    <row r="25" spans="1:11" x14ac:dyDescent="0.15">
      <c r="A25" s="1">
        <f t="shared" si="4"/>
        <v>21</v>
      </c>
      <c r="B25" s="20">
        <v>8.4550000000011667E-4</v>
      </c>
      <c r="C25" s="5">
        <f t="shared" si="8"/>
        <v>98385.89865968778</v>
      </c>
      <c r="D25" s="51">
        <f t="shared" si="5"/>
        <v>83.185277316777501</v>
      </c>
      <c r="E25" s="54">
        <f t="shared" si="1"/>
        <v>0.98955752928746887</v>
      </c>
      <c r="F25" s="55">
        <f t="shared" si="6"/>
        <v>97358.506794407935</v>
      </c>
      <c r="G25" s="56">
        <f t="shared" si="2"/>
        <v>5959605.2664112113</v>
      </c>
      <c r="H25" s="57">
        <f t="shared" si="2"/>
        <v>195272930.58507684</v>
      </c>
      <c r="I25" s="55">
        <f t="shared" si="7"/>
        <v>82.275479754805872</v>
      </c>
      <c r="J25" s="56">
        <f t="shared" si="3"/>
        <v>94380.193317940691</v>
      </c>
      <c r="K25" s="57">
        <f t="shared" si="3"/>
        <v>5862017.5949544096</v>
      </c>
    </row>
    <row r="26" spans="1:11" x14ac:dyDescent="0.15">
      <c r="A26" s="1">
        <f t="shared" si="4"/>
        <v>22</v>
      </c>
      <c r="B26" s="20">
        <v>7.8890000000002096E-4</v>
      </c>
      <c r="C26" s="5">
        <f t="shared" si="8"/>
        <v>98302.713382371003</v>
      </c>
      <c r="D26" s="51">
        <f t="shared" si="5"/>
        <v>77.55101058735454</v>
      </c>
      <c r="E26" s="54">
        <f t="shared" si="1"/>
        <v>0.98906299778857465</v>
      </c>
      <c r="F26" s="55">
        <f t="shared" si="6"/>
        <v>97227.576388718895</v>
      </c>
      <c r="G26" s="56">
        <f t="shared" si="2"/>
        <v>5862246.7596168034</v>
      </c>
      <c r="H26" s="57">
        <f t="shared" si="2"/>
        <v>189313325.31866562</v>
      </c>
      <c r="I26" s="55">
        <f t="shared" si="7"/>
        <v>76.664502761681518</v>
      </c>
      <c r="J26" s="56">
        <f t="shared" si="3"/>
        <v>94297.91783818588</v>
      </c>
      <c r="K26" s="57">
        <f t="shared" si="3"/>
        <v>5767637.4016364692</v>
      </c>
    </row>
    <row r="27" spans="1:11" x14ac:dyDescent="0.15">
      <c r="A27" s="1">
        <f t="shared" si="4"/>
        <v>23</v>
      </c>
      <c r="B27" s="20">
        <v>7.2409999999995282E-4</v>
      </c>
      <c r="C27" s="5">
        <f t="shared" si="8"/>
        <v>98225.162371783648</v>
      </c>
      <c r="D27" s="51">
        <f t="shared" si="5"/>
        <v>71.124840073403902</v>
      </c>
      <c r="E27" s="54">
        <f t="shared" si="1"/>
        <v>0.98856871343185848</v>
      </c>
      <c r="F27" s="55">
        <f t="shared" si="6"/>
        <v>97102.322392509552</v>
      </c>
      <c r="G27" s="56">
        <f t="shared" si="2"/>
        <v>5765019.1832280848</v>
      </c>
      <c r="H27" s="57">
        <f t="shared" si="2"/>
        <v>183451078.55904883</v>
      </c>
      <c r="I27" s="55">
        <f t="shared" si="7"/>
        <v>70.276653317752718</v>
      </c>
      <c r="J27" s="56">
        <f t="shared" si="3"/>
        <v>94221.253335424204</v>
      </c>
      <c r="K27" s="57">
        <f t="shared" si="3"/>
        <v>5673339.4837982832</v>
      </c>
    </row>
    <row r="28" spans="1:11" x14ac:dyDescent="0.15">
      <c r="A28" s="1">
        <f t="shared" si="4"/>
        <v>24</v>
      </c>
      <c r="B28" s="20">
        <v>6.5859999999999953E-4</v>
      </c>
      <c r="C28" s="5">
        <f t="shared" si="8"/>
        <v>98154.037531710244</v>
      </c>
      <c r="D28" s="51">
        <f t="shared" si="5"/>
        <v>64.644249118384323</v>
      </c>
      <c r="E28" s="54">
        <f t="shared" si="1"/>
        <v>0.98807467609381172</v>
      </c>
      <c r="F28" s="55">
        <f t="shared" si="6"/>
        <v>96983.518841444442</v>
      </c>
      <c r="G28" s="56">
        <f t="shared" si="2"/>
        <v>5667916.8608355755</v>
      </c>
      <c r="H28" s="57">
        <f t="shared" si="2"/>
        <v>177686059.37582076</v>
      </c>
      <c r="I28" s="55">
        <f t="shared" si="7"/>
        <v>63.84142479657698</v>
      </c>
      <c r="J28" s="56">
        <f t="shared" si="3"/>
        <v>94150.976682106455</v>
      </c>
      <c r="K28" s="57">
        <f t="shared" si="3"/>
        <v>5579118.2304628594</v>
      </c>
    </row>
    <row r="29" spans="1:11" x14ac:dyDescent="0.15">
      <c r="A29" s="1">
        <f t="shared" si="4"/>
        <v>25</v>
      </c>
      <c r="B29" s="20">
        <v>5.9849999999996169E-4</v>
      </c>
      <c r="C29" s="5">
        <f t="shared" si="8"/>
        <v>98089.39328259186</v>
      </c>
      <c r="D29" s="51">
        <f t="shared" si="5"/>
        <v>58.706501879627467</v>
      </c>
      <c r="E29" s="54">
        <f t="shared" si="1"/>
        <v>0.98758088565098634</v>
      </c>
      <c r="F29" s="55">
        <f t="shared" si="6"/>
        <v>96871.20989098998</v>
      </c>
      <c r="G29" s="56">
        <f t="shared" si="2"/>
        <v>5570933.341994131</v>
      </c>
      <c r="H29" s="57">
        <f t="shared" si="2"/>
        <v>172018142.51498517</v>
      </c>
      <c r="I29" s="55">
        <f t="shared" si="7"/>
        <v>57.948444897305137</v>
      </c>
      <c r="J29" s="56">
        <f t="shared" si="3"/>
        <v>94087.135257309885</v>
      </c>
      <c r="K29" s="57">
        <f t="shared" si="3"/>
        <v>5484967.2537807534</v>
      </c>
    </row>
    <row r="30" spans="1:11" x14ac:dyDescent="0.15">
      <c r="A30" s="1">
        <f t="shared" si="4"/>
        <v>26</v>
      </c>
      <c r="B30" s="20">
        <v>5.4779999999992864E-4</v>
      </c>
      <c r="C30" s="5">
        <f t="shared" si="8"/>
        <v>98030.686780712233</v>
      </c>
      <c r="D30" s="51">
        <f t="shared" si="5"/>
        <v>53.701210218467168</v>
      </c>
      <c r="E30" s="54">
        <f t="shared" si="1"/>
        <v>0.98708734197999637</v>
      </c>
      <c r="F30" s="55">
        <f t="shared" si="6"/>
        <v>96764.850046846812</v>
      </c>
      <c r="G30" s="56">
        <f t="shared" si="2"/>
        <v>5474062.1321031414</v>
      </c>
      <c r="H30" s="57">
        <f t="shared" si="2"/>
        <v>166447209.17299104</v>
      </c>
      <c r="I30" s="55">
        <f t="shared" si="7"/>
        <v>52.981294208551489</v>
      </c>
      <c r="J30" s="56">
        <f t="shared" si="3"/>
        <v>94029.186812412576</v>
      </c>
      <c r="K30" s="57">
        <f t="shared" si="3"/>
        <v>5390880.1185234431</v>
      </c>
    </row>
    <row r="31" spans="1:11" x14ac:dyDescent="0.15">
      <c r="A31" s="1">
        <f t="shared" si="4"/>
        <v>27</v>
      </c>
      <c r="B31" s="20">
        <v>5.0839999999995446E-4</v>
      </c>
      <c r="C31" s="5">
        <f t="shared" si="8"/>
        <v>97976.985570493765</v>
      </c>
      <c r="D31" s="51">
        <f t="shared" si="5"/>
        <v>49.811499464034569</v>
      </c>
      <c r="E31" s="54">
        <f t="shared" si="1"/>
        <v>0.98659404495751746</v>
      </c>
      <c r="F31" s="55">
        <f t="shared" si="6"/>
        <v>96663.510506737759</v>
      </c>
      <c r="G31" s="56">
        <f t="shared" si="2"/>
        <v>5377297.2820562944</v>
      </c>
      <c r="H31" s="57">
        <f t="shared" si="2"/>
        <v>160973147.04088789</v>
      </c>
      <c r="I31" s="55">
        <f t="shared" si="7"/>
        <v>49.119169157042563</v>
      </c>
      <c r="J31" s="56">
        <f t="shared" si="3"/>
        <v>93976.20551820402</v>
      </c>
      <c r="K31" s="57">
        <f t="shared" si="3"/>
        <v>5296850.9317110302</v>
      </c>
    </row>
    <row r="32" spans="1:11" x14ac:dyDescent="0.15">
      <c r="A32" s="1">
        <f t="shared" si="4"/>
        <v>28</v>
      </c>
      <c r="B32" s="20">
        <v>4.8090000000005874E-4</v>
      </c>
      <c r="C32" s="5">
        <f t="shared" si="8"/>
        <v>97927.174071029731</v>
      </c>
      <c r="D32" s="51">
        <f t="shared" si="5"/>
        <v>47.09317801076395</v>
      </c>
      <c r="E32" s="54">
        <f t="shared" si="1"/>
        <v>0.98610099446028743</v>
      </c>
      <c r="F32" s="55">
        <f t="shared" si="6"/>
        <v>96566.083736128086</v>
      </c>
      <c r="G32" s="56">
        <f t="shared" si="2"/>
        <v>5280633.7715495564</v>
      </c>
      <c r="H32" s="57">
        <f t="shared" si="2"/>
        <v>155595849.75883159</v>
      </c>
      <c r="I32" s="55">
        <f t="shared" si="7"/>
        <v>46.415421957730807</v>
      </c>
      <c r="J32" s="56">
        <f t="shared" si="3"/>
        <v>93927.086349046978</v>
      </c>
      <c r="K32" s="57">
        <f t="shared" si="3"/>
        <v>5202874.7261928264</v>
      </c>
    </row>
    <row r="33" spans="1:11" x14ac:dyDescent="0.15">
      <c r="A33" s="1">
        <f t="shared" si="4"/>
        <v>29</v>
      </c>
      <c r="B33" s="20">
        <v>4.6460000000007841E-4</v>
      </c>
      <c r="C33" s="5">
        <f t="shared" si="8"/>
        <v>97880.080893018967</v>
      </c>
      <c r="D33" s="51">
        <f t="shared" si="5"/>
        <v>45.475085582904285</v>
      </c>
      <c r="E33" s="54">
        <f t="shared" si="1"/>
        <v>0.98560819036510483</v>
      </c>
      <c r="F33" s="55">
        <f t="shared" si="6"/>
        <v>96471.409401758501</v>
      </c>
      <c r="G33" s="56">
        <f t="shared" si="2"/>
        <v>5184067.6878134282</v>
      </c>
      <c r="H33" s="57">
        <f t="shared" si="2"/>
        <v>150315215.98728204</v>
      </c>
      <c r="I33" s="55">
        <f t="shared" si="7"/>
        <v>44.798217699214966</v>
      </c>
      <c r="J33" s="56">
        <f t="shared" si="3"/>
        <v>93880.670927089246</v>
      </c>
      <c r="K33" s="57">
        <f t="shared" si="3"/>
        <v>5108947.6398437796</v>
      </c>
    </row>
    <row r="34" spans="1:11" x14ac:dyDescent="0.15">
      <c r="A34" s="1">
        <f t="shared" si="4"/>
        <v>30</v>
      </c>
      <c r="B34" s="20">
        <v>4.582999999999507E-4</v>
      </c>
      <c r="C34" s="5">
        <f t="shared" si="8"/>
        <v>97834.605807436063</v>
      </c>
      <c r="D34" s="51">
        <f t="shared" si="5"/>
        <v>44.837599841543124</v>
      </c>
      <c r="E34" s="54">
        <f t="shared" si="1"/>
        <v>0.98511563254883072</v>
      </c>
      <c r="F34" s="55">
        <f t="shared" si="6"/>
        <v>96378.39958515788</v>
      </c>
      <c r="G34" s="56">
        <f t="shared" si="2"/>
        <v>5087596.2784116697</v>
      </c>
      <c r="H34" s="57">
        <f t="shared" si="2"/>
        <v>145131148.29946861</v>
      </c>
      <c r="I34" s="55">
        <f t="shared" si="7"/>
        <v>44.148146456644774</v>
      </c>
      <c r="J34" s="56">
        <f t="shared" si="3"/>
        <v>93835.872709390038</v>
      </c>
      <c r="K34" s="57">
        <f t="shared" si="3"/>
        <v>5015066.96891669</v>
      </c>
    </row>
    <row r="35" spans="1:11" x14ac:dyDescent="0.15">
      <c r="A35" s="1">
        <f t="shared" si="4"/>
        <v>31</v>
      </c>
      <c r="B35" s="20">
        <v>4.6139999999988214E-4</v>
      </c>
      <c r="C35" s="5">
        <f t="shared" si="8"/>
        <v>97789.768207594519</v>
      </c>
      <c r="D35" s="51">
        <f t="shared" si="5"/>
        <v>45.120199050972587</v>
      </c>
      <c r="E35" s="54">
        <f t="shared" si="1"/>
        <v>0.98462332088838622</v>
      </c>
      <c r="F35" s="55">
        <f t="shared" si="6"/>
        <v>96286.086321467243</v>
      </c>
      <c r="G35" s="56">
        <f t="shared" si="2"/>
        <v>4991217.878826512</v>
      </c>
      <c r="H35" s="57">
        <f t="shared" si="2"/>
        <v>140043552.02105695</v>
      </c>
      <c r="I35" s="55">
        <f t="shared" si="7"/>
        <v>44.404198129648826</v>
      </c>
      <c r="J35" s="56">
        <f t="shared" si="3"/>
        <v>93791.724562933392</v>
      </c>
      <c r="K35" s="57">
        <f t="shared" si="3"/>
        <v>4921231.0962073002</v>
      </c>
    </row>
    <row r="36" spans="1:11" x14ac:dyDescent="0.15">
      <c r="A36" s="1">
        <f t="shared" si="4"/>
        <v>32</v>
      </c>
      <c r="B36" s="20">
        <v>4.7409999999998279E-4</v>
      </c>
      <c r="C36" s="5">
        <f t="shared" si="8"/>
        <v>97744.648008543547</v>
      </c>
      <c r="D36" s="51">
        <f t="shared" si="5"/>
        <v>46.340737620848813</v>
      </c>
      <c r="E36" s="54">
        <f t="shared" si="1"/>
        <v>0.98413125526075607</v>
      </c>
      <c r="F36" s="55">
        <f t="shared" si="6"/>
        <v>96193.563139668724</v>
      </c>
      <c r="G36" s="56">
        <f t="shared" si="2"/>
        <v>4894931.7925050445</v>
      </c>
      <c r="H36" s="57">
        <f t="shared" si="2"/>
        <v>135052334.14223045</v>
      </c>
      <c r="I36" s="55">
        <f t="shared" si="7"/>
        <v>45.582576996017281</v>
      </c>
      <c r="J36" s="56">
        <f t="shared" si="3"/>
        <v>93747.320364803745</v>
      </c>
      <c r="K36" s="57">
        <f t="shared" si="3"/>
        <v>4827439.3716443665</v>
      </c>
    </row>
    <row r="37" spans="1:11" x14ac:dyDescent="0.15">
      <c r="A37" s="1">
        <f t="shared" si="4"/>
        <v>33</v>
      </c>
      <c r="B37" s="20">
        <v>4.9730000000007166E-4</v>
      </c>
      <c r="C37" s="5">
        <f t="shared" si="8"/>
        <v>97698.307270922698</v>
      </c>
      <c r="D37" s="51">
        <f t="shared" si="5"/>
        <v>48.585368205836858</v>
      </c>
      <c r="E37" s="54">
        <f t="shared" si="1"/>
        <v>0.98363943554298461</v>
      </c>
      <c r="F37" s="55">
        <f t="shared" si="6"/>
        <v>96099.907817475469</v>
      </c>
      <c r="G37" s="56">
        <f t="shared" si="2"/>
        <v>4798738.2293653758</v>
      </c>
      <c r="H37" s="57">
        <f t="shared" si="2"/>
        <v>130157402.34972541</v>
      </c>
      <c r="I37" s="55">
        <f t="shared" si="7"/>
        <v>47.766600857208843</v>
      </c>
      <c r="J37" s="56">
        <f t="shared" si="3"/>
        <v>93701.737787807724</v>
      </c>
      <c r="K37" s="57">
        <f t="shared" si="3"/>
        <v>4733692.0512795625</v>
      </c>
    </row>
    <row r="38" spans="1:11" x14ac:dyDescent="0.15">
      <c r="A38" s="1">
        <f t="shared" si="4"/>
        <v>34</v>
      </c>
      <c r="B38" s="20">
        <v>5.3139999999999579E-4</v>
      </c>
      <c r="C38" s="5">
        <f t="shared" si="8"/>
        <v>97649.721902716861</v>
      </c>
      <c r="D38" s="51">
        <f t="shared" si="5"/>
        <v>51.891062219103333</v>
      </c>
      <c r="E38" s="54">
        <f t="shared" si="1"/>
        <v>0.98314786161217871</v>
      </c>
      <c r="F38" s="55">
        <f t="shared" si="6"/>
        <v>96004.115275680015</v>
      </c>
      <c r="G38" s="56">
        <f t="shared" si="2"/>
        <v>4702638.3215479003</v>
      </c>
      <c r="H38" s="57">
        <f t="shared" si="2"/>
        <v>125358664.12036003</v>
      </c>
      <c r="I38" s="55">
        <f t="shared" si="7"/>
        <v>50.99109131184003</v>
      </c>
      <c r="J38" s="56">
        <f t="shared" si="3"/>
        <v>93653.971186950512</v>
      </c>
      <c r="K38" s="57">
        <f t="shared" si="3"/>
        <v>4639990.3134917552</v>
      </c>
    </row>
    <row r="39" spans="1:11" x14ac:dyDescent="0.15">
      <c r="A39" s="1">
        <f t="shared" si="4"/>
        <v>35</v>
      </c>
      <c r="B39" s="20">
        <v>5.7510000000000135E-4</v>
      </c>
      <c r="C39" s="5">
        <f t="shared" si="8"/>
        <v>97597.830840497758</v>
      </c>
      <c r="D39" s="51">
        <f t="shared" si="5"/>
        <v>56.128512516370392</v>
      </c>
      <c r="E39" s="54">
        <f t="shared" si="1"/>
        <v>0.98265653334550584</v>
      </c>
      <c r="F39" s="55">
        <f t="shared" si="6"/>
        <v>95905.146115764626</v>
      </c>
      <c r="G39" s="56">
        <f t="shared" si="2"/>
        <v>4606634.2062722202</v>
      </c>
      <c r="H39" s="57">
        <f t="shared" si="2"/>
        <v>120656025.79881214</v>
      </c>
      <c r="I39" s="55">
        <f t="shared" si="7"/>
        <v>55.127485788282222</v>
      </c>
      <c r="J39" s="56">
        <f t="shared" si="3"/>
        <v>93602.980095638675</v>
      </c>
      <c r="K39" s="57">
        <f t="shared" si="3"/>
        <v>4546336.3423048044</v>
      </c>
    </row>
    <row r="40" spans="1:11" x14ac:dyDescent="0.15">
      <c r="A40" s="1">
        <f t="shared" si="4"/>
        <v>36</v>
      </c>
      <c r="B40" s="20">
        <v>6.2549999999993589E-4</v>
      </c>
      <c r="C40" s="5">
        <f t="shared" si="8"/>
        <v>97541.702327981387</v>
      </c>
      <c r="D40" s="51">
        <f t="shared" si="5"/>
        <v>61.0123348061461</v>
      </c>
      <c r="E40" s="54">
        <f t="shared" si="1"/>
        <v>0.98216545062019567</v>
      </c>
      <c r="F40" s="55">
        <f t="shared" si="6"/>
        <v>95802.09002122283</v>
      </c>
      <c r="G40" s="56">
        <f t="shared" si="2"/>
        <v>4510729.0601564553</v>
      </c>
      <c r="H40" s="57">
        <f t="shared" si="2"/>
        <v>116049391.59253992</v>
      </c>
      <c r="I40" s="55">
        <f t="shared" si="7"/>
        <v>59.894260178179643</v>
      </c>
      <c r="J40" s="56">
        <f t="shared" si="3"/>
        <v>93547.852609850393</v>
      </c>
      <c r="K40" s="57">
        <f t="shared" si="3"/>
        <v>4452733.3622091655</v>
      </c>
    </row>
    <row r="41" spans="1:11" x14ac:dyDescent="0.15">
      <c r="A41" s="1">
        <f t="shared" si="4"/>
        <v>37</v>
      </c>
      <c r="B41" s="20">
        <v>6.796999999999551E-4</v>
      </c>
      <c r="C41" s="5">
        <f t="shared" si="8"/>
        <v>97480.689993175241</v>
      </c>
      <c r="D41" s="51">
        <f t="shared" si="5"/>
        <v>66.257624988356838</v>
      </c>
      <c r="E41" s="54">
        <f t="shared" si="1"/>
        <v>0.98167461331353889</v>
      </c>
      <c r="F41" s="55">
        <f t="shared" si="6"/>
        <v>95694.31865458726</v>
      </c>
      <c r="G41" s="56">
        <f t="shared" si="2"/>
        <v>4414926.9701352324</v>
      </c>
      <c r="H41" s="57">
        <f t="shared" si="2"/>
        <v>111538662.53238347</v>
      </c>
      <c r="I41" s="55">
        <f t="shared" si="7"/>
        <v>65.010922928054654</v>
      </c>
      <c r="J41" s="56">
        <f t="shared" si="3"/>
        <v>93487.958349672219</v>
      </c>
      <c r="K41" s="57">
        <f t="shared" si="3"/>
        <v>4359185.509599315</v>
      </c>
    </row>
    <row r="42" spans="1:11" x14ac:dyDescent="0.15">
      <c r="A42" s="1">
        <f t="shared" si="4"/>
        <v>38</v>
      </c>
      <c r="B42" s="20">
        <v>7.3610000000002716E-4</v>
      </c>
      <c r="C42" s="5">
        <f t="shared" si="8"/>
        <v>97414.432368186885</v>
      </c>
      <c r="D42" s="51">
        <f t="shared" si="5"/>
        <v>71.706763666225015</v>
      </c>
      <c r="E42" s="54">
        <f t="shared" si="1"/>
        <v>0.98118402130288762</v>
      </c>
      <c r="F42" s="55">
        <f t="shared" si="6"/>
        <v>95581.484483955792</v>
      </c>
      <c r="G42" s="56">
        <f t="shared" si="2"/>
        <v>4319232.6514806449</v>
      </c>
      <c r="H42" s="57">
        <f t="shared" si="2"/>
        <v>107123735.56224824</v>
      </c>
      <c r="I42" s="55">
        <f t="shared" si="7"/>
        <v>70.322369543870508</v>
      </c>
      <c r="J42" s="56">
        <f t="shared" si="3"/>
        <v>93422.947426744169</v>
      </c>
      <c r="K42" s="57">
        <f t="shared" si="3"/>
        <v>4265697.5512496429</v>
      </c>
    </row>
    <row r="43" spans="1:11" x14ac:dyDescent="0.15">
      <c r="A43" s="1">
        <f t="shared" si="4"/>
        <v>39</v>
      </c>
      <c r="B43" s="20">
        <v>7.9579999999999452E-4</v>
      </c>
      <c r="C43" s="5">
        <f t="shared" si="8"/>
        <v>97342.72560452066</v>
      </c>
      <c r="D43" s="51">
        <f t="shared" si="5"/>
        <v>77.465341036077007</v>
      </c>
      <c r="E43" s="54">
        <f t="shared" si="1"/>
        <v>0.9806936744656547</v>
      </c>
      <c r="F43" s="55">
        <f t="shared" si="6"/>
        <v>95463.395255599331</v>
      </c>
      <c r="G43" s="56">
        <f t="shared" si="2"/>
        <v>4223651.1669966895</v>
      </c>
      <c r="H43" s="57">
        <f t="shared" si="2"/>
        <v>102804502.9107676</v>
      </c>
      <c r="I43" s="55">
        <f t="shared" si="7"/>
        <v>75.931804042384243</v>
      </c>
      <c r="J43" s="56">
        <f t="shared" si="3"/>
        <v>93352.625057200305</v>
      </c>
      <c r="K43" s="57">
        <f t="shared" si="3"/>
        <v>4172274.6038228986</v>
      </c>
    </row>
    <row r="44" spans="1:11" x14ac:dyDescent="0.15">
      <c r="A44" s="1">
        <f t="shared" si="4"/>
        <v>40</v>
      </c>
      <c r="B44" s="20">
        <v>8.6180000000004827E-4</v>
      </c>
      <c r="C44" s="5">
        <f t="shared" si="8"/>
        <v>97265.260263484583</v>
      </c>
      <c r="D44" s="51">
        <f t="shared" si="5"/>
        <v>83.823201295075705</v>
      </c>
      <c r="E44" s="54">
        <f t="shared" si="1"/>
        <v>0.98020357267931524</v>
      </c>
      <c r="F44" s="55">
        <f t="shared" si="6"/>
        <v>95339.755607851024</v>
      </c>
      <c r="G44" s="56">
        <f t="shared" si="2"/>
        <v>4128187.7717410903</v>
      </c>
      <c r="H44" s="57">
        <f t="shared" si="2"/>
        <v>98580851.743770912</v>
      </c>
      <c r="I44" s="55">
        <f t="shared" si="7"/>
        <v>82.122740012844176</v>
      </c>
      <c r="J44" s="56">
        <f t="shared" si="3"/>
        <v>93276.693253157922</v>
      </c>
      <c r="K44" s="57">
        <f t="shared" si="3"/>
        <v>4078921.9787656981</v>
      </c>
    </row>
    <row r="45" spans="1:11" x14ac:dyDescent="0.15">
      <c r="A45" s="1">
        <f t="shared" si="4"/>
        <v>41</v>
      </c>
      <c r="B45" s="20">
        <v>9.3829999999992713E-4</v>
      </c>
      <c r="C45" s="5">
        <f t="shared" si="8"/>
        <v>97181.437062189507</v>
      </c>
      <c r="D45" s="51">
        <f t="shared" si="5"/>
        <v>91.185342395445332</v>
      </c>
      <c r="E45" s="54">
        <f t="shared" si="1"/>
        <v>0.97971371582140443</v>
      </c>
      <c r="F45" s="55">
        <f t="shared" si="6"/>
        <v>95209.986813061638</v>
      </c>
      <c r="G45" s="56">
        <f t="shared" si="2"/>
        <v>4032848.0161332395</v>
      </c>
      <c r="H45" s="57">
        <f t="shared" si="2"/>
        <v>94452663.97202982</v>
      </c>
      <c r="I45" s="55">
        <f t="shared" si="7"/>
        <v>89.290885184096751</v>
      </c>
      <c r="J45" s="56">
        <f t="shared" si="3"/>
        <v>93194.570513145081</v>
      </c>
      <c r="K45" s="57">
        <f t="shared" si="3"/>
        <v>3985645.28551254</v>
      </c>
    </row>
    <row r="46" spans="1:11" x14ac:dyDescent="0.15">
      <c r="A46" s="1">
        <f t="shared" si="4"/>
        <v>42</v>
      </c>
      <c r="B46" s="20">
        <v>1.0290999999999432E-3</v>
      </c>
      <c r="C46" s="5">
        <f t="shared" si="8"/>
        <v>97090.251719794062</v>
      </c>
      <c r="D46" s="51">
        <f t="shared" si="5"/>
        <v>99.915578044834547</v>
      </c>
      <c r="E46" s="54">
        <f t="shared" si="1"/>
        <v>0.97922410376951974</v>
      </c>
      <c r="F46" s="55">
        <f t="shared" si="6"/>
        <v>95073.114725072417</v>
      </c>
      <c r="G46" s="56">
        <f t="shared" si="2"/>
        <v>3937638.0293201781</v>
      </c>
      <c r="H46" s="57">
        <f t="shared" si="2"/>
        <v>90419815.955896586</v>
      </c>
      <c r="I46" s="55">
        <f t="shared" si="7"/>
        <v>97.790846940096571</v>
      </c>
      <c r="J46" s="56">
        <f t="shared" si="3"/>
        <v>93105.27962796099</v>
      </c>
      <c r="K46" s="57">
        <f t="shared" si="3"/>
        <v>3892450.714999395</v>
      </c>
    </row>
    <row r="47" spans="1:11" x14ac:dyDescent="0.15">
      <c r="A47" s="1">
        <f t="shared" si="4"/>
        <v>43</v>
      </c>
      <c r="B47" s="20">
        <v>1.1360000000000476E-3</v>
      </c>
      <c r="C47" s="5">
        <f t="shared" si="8"/>
        <v>96990.336141749227</v>
      </c>
      <c r="D47" s="51">
        <f t="shared" si="5"/>
        <v>110.18102185703174</v>
      </c>
      <c r="E47" s="54">
        <f t="shared" si="1"/>
        <v>0.97873473640131914</v>
      </c>
      <c r="F47" s="55">
        <f t="shared" si="6"/>
        <v>94927.811077170263</v>
      </c>
      <c r="G47" s="56">
        <f t="shared" si="2"/>
        <v>3842564.9145951057</v>
      </c>
      <c r="H47" s="57">
        <f t="shared" si="2"/>
        <v>86482177.926576406</v>
      </c>
      <c r="I47" s="55">
        <f t="shared" si="7"/>
        <v>107.78410133300343</v>
      </c>
      <c r="J47" s="56">
        <f t="shared" si="3"/>
        <v>93007.488781020889</v>
      </c>
      <c r="K47" s="57">
        <f t="shared" si="3"/>
        <v>3799345.4353714339</v>
      </c>
    </row>
    <row r="48" spans="1:11" x14ac:dyDescent="0.15">
      <c r="A48" s="1">
        <f t="shared" si="4"/>
        <v>44</v>
      </c>
      <c r="B48" s="20">
        <v>1.2585000000000929E-3</v>
      </c>
      <c r="C48" s="5">
        <f t="shared" si="8"/>
        <v>96880.155119892195</v>
      </c>
      <c r="D48" s="51">
        <f t="shared" si="5"/>
        <v>121.92367521839333</v>
      </c>
      <c r="E48" s="54">
        <f t="shared" si="1"/>
        <v>0.97824561359452178</v>
      </c>
      <c r="F48" s="55">
        <f t="shared" si="6"/>
        <v>94772.58679039139</v>
      </c>
      <c r="G48" s="56">
        <f t="shared" si="2"/>
        <v>3747637.1035179356</v>
      </c>
      <c r="H48" s="57">
        <f t="shared" si="2"/>
        <v>82639613.011981294</v>
      </c>
      <c r="I48" s="55">
        <f t="shared" si="7"/>
        <v>119.21169462840219</v>
      </c>
      <c r="J48" s="56">
        <f t="shared" si="3"/>
        <v>92899.704679687886</v>
      </c>
      <c r="K48" s="57">
        <f t="shared" si="3"/>
        <v>3706337.9465904129</v>
      </c>
    </row>
    <row r="49" spans="1:11" x14ac:dyDescent="0.15">
      <c r="A49" s="1">
        <f t="shared" si="4"/>
        <v>45</v>
      </c>
      <c r="B49" s="20">
        <v>1.3949000000000151E-3</v>
      </c>
      <c r="C49" s="5">
        <f t="shared" si="8"/>
        <v>96758.231444673802</v>
      </c>
      <c r="D49" s="51">
        <f t="shared" si="5"/>
        <v>134.96805704217695</v>
      </c>
      <c r="E49" s="54">
        <f t="shared" si="1"/>
        <v>0.97775673522690842</v>
      </c>
      <c r="F49" s="55">
        <f t="shared" si="6"/>
        <v>94606.012483673854</v>
      </c>
      <c r="G49" s="56">
        <f t="shared" si="2"/>
        <v>3652864.5167275444</v>
      </c>
      <c r="H49" s="57">
        <f t="shared" si="2"/>
        <v>78891975.908463359</v>
      </c>
      <c r="I49" s="55">
        <f t="shared" si="7"/>
        <v>131.89997682506558</v>
      </c>
      <c r="J49" s="56">
        <f t="shared" si="3"/>
        <v>92780.492985059478</v>
      </c>
      <c r="K49" s="57">
        <f t="shared" si="3"/>
        <v>3613438.2419107249</v>
      </c>
    </row>
    <row r="50" spans="1:11" x14ac:dyDescent="0.15">
      <c r="A50" s="1">
        <f t="shared" si="4"/>
        <v>46</v>
      </c>
      <c r="B50" s="20">
        <v>1.5443999999999491E-3</v>
      </c>
      <c r="C50" s="5">
        <f t="shared" si="8"/>
        <v>96623.263387631625</v>
      </c>
      <c r="D50" s="51">
        <f t="shared" si="5"/>
        <v>149.22496797585336</v>
      </c>
      <c r="E50" s="54">
        <f t="shared" si="1"/>
        <v>0.97726810117632057</v>
      </c>
      <c r="F50" s="55">
        <f t="shared" si="6"/>
        <v>94426.833140290255</v>
      </c>
      <c r="G50" s="56">
        <f t="shared" si="2"/>
        <v>3558258.5042438707</v>
      </c>
      <c r="H50" s="57">
        <f t="shared" si="2"/>
        <v>75239111.391735822</v>
      </c>
      <c r="I50" s="55">
        <f t="shared" si="7"/>
        <v>145.75992114128877</v>
      </c>
      <c r="J50" s="56">
        <f t="shared" si="3"/>
        <v>92648.593008234413</v>
      </c>
      <c r="K50" s="57">
        <f t="shared" si="3"/>
        <v>3520657.7489256654</v>
      </c>
    </row>
    <row r="51" spans="1:11" x14ac:dyDescent="0.15">
      <c r="A51" s="1">
        <f t="shared" si="4"/>
        <v>47</v>
      </c>
      <c r="B51" s="20">
        <v>1.709900000000007E-3</v>
      </c>
      <c r="C51" s="5">
        <f t="shared" si="8"/>
        <v>96474.038419655772</v>
      </c>
      <c r="D51" s="51">
        <f t="shared" si="5"/>
        <v>164.96095829377009</v>
      </c>
      <c r="E51" s="54">
        <f t="shared" si="1"/>
        <v>0.97677971132065988</v>
      </c>
      <c r="F51" s="55">
        <f t="shared" si="6"/>
        <v>94233.883397489612</v>
      </c>
      <c r="G51" s="56">
        <f t="shared" si="2"/>
        <v>3463831.6711035804</v>
      </c>
      <c r="H51" s="57">
        <f t="shared" si="2"/>
        <v>71680852.887491956</v>
      </c>
      <c r="I51" s="55">
        <f t="shared" si="7"/>
        <v>161.04999222525555</v>
      </c>
      <c r="J51" s="56">
        <f t="shared" si="3"/>
        <v>92502.833087093124</v>
      </c>
      <c r="K51" s="57">
        <f t="shared" si="3"/>
        <v>3428009.1559174308</v>
      </c>
    </row>
    <row r="52" spans="1:11" x14ac:dyDescent="0.15">
      <c r="A52" s="1">
        <f t="shared" si="4"/>
        <v>48</v>
      </c>
      <c r="B52" s="20">
        <v>1.89609999999989E-3</v>
      </c>
      <c r="C52" s="5">
        <f t="shared" si="8"/>
        <v>96309.077461362001</v>
      </c>
      <c r="D52" s="51">
        <f t="shared" si="5"/>
        <v>182.6116417744779</v>
      </c>
      <c r="E52" s="54">
        <f t="shared" si="1"/>
        <v>0.97629156553789109</v>
      </c>
      <c r="F52" s="55">
        <f t="shared" si="6"/>
        <v>94025.740010263136</v>
      </c>
      <c r="G52" s="56">
        <f t="shared" si="2"/>
        <v>3369597.7877060906</v>
      </c>
      <c r="H52" s="57">
        <f t="shared" si="2"/>
        <v>68217021.216388375</v>
      </c>
      <c r="I52" s="55">
        <f t="shared" si="7"/>
        <v>178.19310907891014</v>
      </c>
      <c r="J52" s="56">
        <f t="shared" si="3"/>
        <v>92341.783094867875</v>
      </c>
      <c r="K52" s="57">
        <f t="shared" si="3"/>
        <v>3335506.3228303376</v>
      </c>
    </row>
    <row r="53" spans="1:11" x14ac:dyDescent="0.15">
      <c r="A53" s="1">
        <f t="shared" si="4"/>
        <v>49</v>
      </c>
      <c r="B53" s="20">
        <v>2.1078999999999916E-3</v>
      </c>
      <c r="C53" s="5">
        <f t="shared" si="8"/>
        <v>96126.465819587524</v>
      </c>
      <c r="D53" s="51">
        <f t="shared" si="5"/>
        <v>202.62497730110772</v>
      </c>
      <c r="E53" s="54">
        <f t="shared" si="1"/>
        <v>0.9758036637060381</v>
      </c>
      <c r="F53" s="55">
        <f t="shared" si="6"/>
        <v>93800.557525866752</v>
      </c>
      <c r="G53" s="56">
        <f t="shared" si="2"/>
        <v>3275572.0476958277</v>
      </c>
      <c r="H53" s="57">
        <f t="shared" si="2"/>
        <v>64847423.428682283</v>
      </c>
      <c r="I53" s="55">
        <f t="shared" si="7"/>
        <v>197.62338351701521</v>
      </c>
      <c r="J53" s="56">
        <f t="shared" si="3"/>
        <v>92163.58998578896</v>
      </c>
      <c r="K53" s="57">
        <f t="shared" si="3"/>
        <v>3243164.5397354695</v>
      </c>
    </row>
    <row r="54" spans="1:11" x14ac:dyDescent="0.15">
      <c r="A54" s="1">
        <f t="shared" si="4"/>
        <v>50</v>
      </c>
      <c r="B54" s="20">
        <v>2.3467000000000826E-3</v>
      </c>
      <c r="C54" s="5">
        <f t="shared" si="8"/>
        <v>95923.840842286416</v>
      </c>
      <c r="D54" s="51">
        <f t="shared" si="5"/>
        <v>225.10447730460146</v>
      </c>
      <c r="E54" s="54">
        <f t="shared" si="1"/>
        <v>0.97531600570318655</v>
      </c>
      <c r="F54" s="55">
        <f t="shared" si="6"/>
        <v>93556.057302006971</v>
      </c>
      <c r="G54" s="56">
        <f t="shared" si="2"/>
        <v>3181771.490169961</v>
      </c>
      <c r="H54" s="57">
        <f t="shared" si="2"/>
        <v>61571851.380986452</v>
      </c>
      <c r="I54" s="55">
        <f t="shared" si="7"/>
        <v>219.43828053036231</v>
      </c>
      <c r="J54" s="56">
        <f t="shared" si="3"/>
        <v>91965.966602271947</v>
      </c>
      <c r="K54" s="57">
        <f t="shared" si="3"/>
        <v>3151000.9497496807</v>
      </c>
    </row>
    <row r="55" spans="1:11" x14ac:dyDescent="0.15">
      <c r="A55" s="1">
        <f t="shared" si="4"/>
        <v>51</v>
      </c>
      <c r="B55" s="20">
        <v>2.6093999999999527E-3</v>
      </c>
      <c r="C55" s="5">
        <f t="shared" si="8"/>
        <v>95698.736364981814</v>
      </c>
      <c r="D55" s="51">
        <f t="shared" si="5"/>
        <v>249.71628267077904</v>
      </c>
      <c r="E55" s="54">
        <f t="shared" si="1"/>
        <v>0.97482859140748268</v>
      </c>
      <c r="F55" s="55">
        <f t="shared" si="6"/>
        <v>93289.864370151263</v>
      </c>
      <c r="G55" s="56">
        <f t="shared" si="2"/>
        <v>3088215.432867954</v>
      </c>
      <c r="H55" s="57">
        <f t="shared" si="2"/>
        <v>58390079.890816495</v>
      </c>
      <c r="I55" s="55">
        <f t="shared" si="7"/>
        <v>243.308917628654</v>
      </c>
      <c r="J55" s="56">
        <f t="shared" si="3"/>
        <v>91746.528321741585</v>
      </c>
      <c r="K55" s="57">
        <f t="shared" si="3"/>
        <v>3059034.9831474088</v>
      </c>
    </row>
    <row r="56" spans="1:11" x14ac:dyDescent="0.15">
      <c r="A56" s="1">
        <f t="shared" si="4"/>
        <v>52</v>
      </c>
      <c r="B56" s="20">
        <v>2.8907000000000941E-3</v>
      </c>
      <c r="C56" s="5">
        <f t="shared" si="8"/>
        <v>95449.020082311035</v>
      </c>
      <c r="D56" s="51">
        <f t="shared" si="5"/>
        <v>275.91448235194548</v>
      </c>
      <c r="E56" s="54">
        <f t="shared" si="1"/>
        <v>0.97434142069713425</v>
      </c>
      <c r="F56" s="55">
        <f t="shared" si="6"/>
        <v>92999.933831148228</v>
      </c>
      <c r="G56" s="56">
        <f t="shared" si="2"/>
        <v>2994925.5684978026</v>
      </c>
      <c r="H56" s="57">
        <f t="shared" si="2"/>
        <v>55301864.457948543</v>
      </c>
      <c r="I56" s="55">
        <f t="shared" si="7"/>
        <v>268.70055844648573</v>
      </c>
      <c r="J56" s="56">
        <f t="shared" si="3"/>
        <v>91503.219404112926</v>
      </c>
      <c r="K56" s="57">
        <f t="shared" si="3"/>
        <v>2967288.4548256672</v>
      </c>
    </row>
    <row r="57" spans="1:11" x14ac:dyDescent="0.15">
      <c r="A57" s="1">
        <f t="shared" si="4"/>
        <v>53</v>
      </c>
      <c r="B57" s="20">
        <v>3.1871999999998984E-3</v>
      </c>
      <c r="C57" s="5">
        <f t="shared" si="8"/>
        <v>95173.10559995909</v>
      </c>
      <c r="D57" s="51">
        <f t="shared" si="5"/>
        <v>303.33572216817993</v>
      </c>
      <c r="E57" s="54">
        <f t="shared" si="1"/>
        <v>0.97385449345040909</v>
      </c>
      <c r="F57" s="55">
        <f t="shared" si="6"/>
        <v>92684.756544150456</v>
      </c>
      <c r="G57" s="56">
        <f t="shared" si="2"/>
        <v>2901925.6346666543</v>
      </c>
      <c r="H57" s="57">
        <f t="shared" si="2"/>
        <v>52306938.889450744</v>
      </c>
      <c r="I57" s="55">
        <f t="shared" si="7"/>
        <v>295.25722744378504</v>
      </c>
      <c r="J57" s="56">
        <f t="shared" si="3"/>
        <v>91234.518845666447</v>
      </c>
      <c r="K57" s="57">
        <f t="shared" si="3"/>
        <v>2875785.2354215542</v>
      </c>
    </row>
    <row r="58" spans="1:11" x14ac:dyDescent="0.15">
      <c r="A58" s="1">
        <f t="shared" si="4"/>
        <v>54</v>
      </c>
      <c r="B58" s="20">
        <v>3.5024000000000613E-3</v>
      </c>
      <c r="C58" s="5">
        <f t="shared" si="8"/>
        <v>94869.76987779091</v>
      </c>
      <c r="D58" s="51">
        <f t="shared" si="5"/>
        <v>332.27188201998069</v>
      </c>
      <c r="E58" s="54">
        <f t="shared" si="1"/>
        <v>0.9733678095456364</v>
      </c>
      <c r="F58" s="55">
        <f t="shared" si="6"/>
        <v>92343.180098043929</v>
      </c>
      <c r="G58" s="56">
        <f t="shared" si="2"/>
        <v>2809240.8781225039</v>
      </c>
      <c r="H58" s="57">
        <f t="shared" si="2"/>
        <v>49405013.254784092</v>
      </c>
      <c r="I58" s="55">
        <f t="shared" si="7"/>
        <v>323.26112341368781</v>
      </c>
      <c r="J58" s="56">
        <f t="shared" si="3"/>
        <v>90939.261618222663</v>
      </c>
      <c r="K58" s="57">
        <f t="shared" si="3"/>
        <v>2784550.7165758875</v>
      </c>
    </row>
    <row r="59" spans="1:11" x14ac:dyDescent="0.15">
      <c r="A59" s="1">
        <f t="shared" si="4"/>
        <v>55</v>
      </c>
      <c r="B59" s="20">
        <v>3.8454999999999687E-3</v>
      </c>
      <c r="C59" s="5">
        <f t="shared" si="8"/>
        <v>94537.497995770929</v>
      </c>
      <c r="D59" s="51">
        <f t="shared" si="5"/>
        <v>363.54394854273414</v>
      </c>
      <c r="E59" s="54">
        <f t="shared" si="1"/>
        <v>0.97288136886120558</v>
      </c>
      <c r="F59" s="55">
        <f t="shared" si="6"/>
        <v>91973.770458839106</v>
      </c>
      <c r="G59" s="56">
        <f t="shared" si="2"/>
        <v>2716897.6980244601</v>
      </c>
      <c r="H59" s="57">
        <f t="shared" si="2"/>
        <v>46595772.376661591</v>
      </c>
      <c r="I59" s="55">
        <f t="shared" si="7"/>
        <v>353.50838010940822</v>
      </c>
      <c r="J59" s="56">
        <f t="shared" si="3"/>
        <v>90616.000494808977</v>
      </c>
      <c r="K59" s="57">
        <f t="shared" si="3"/>
        <v>2693611.4549576649</v>
      </c>
    </row>
    <row r="60" spans="1:11" x14ac:dyDescent="0.15">
      <c r="A60" s="1">
        <f t="shared" si="4"/>
        <v>56</v>
      </c>
      <c r="B60" s="20">
        <v>4.2255000000000105E-3</v>
      </c>
      <c r="C60" s="5">
        <f t="shared" si="8"/>
        <v>94173.954047228195</v>
      </c>
      <c r="D60" s="51">
        <f t="shared" si="5"/>
        <v>397.9320428265637</v>
      </c>
      <c r="E60" s="54">
        <f t="shared" si="1"/>
        <v>0.97239517127556796</v>
      </c>
      <c r="F60" s="55">
        <f t="shared" si="6"/>
        <v>91574.298175451928</v>
      </c>
      <c r="G60" s="56">
        <f t="shared" si="2"/>
        <v>2624923.9275656212</v>
      </c>
      <c r="H60" s="57">
        <f t="shared" si="2"/>
        <v>43878874.678637132</v>
      </c>
      <c r="I60" s="55">
        <f t="shared" si="7"/>
        <v>386.75382003035787</v>
      </c>
      <c r="J60" s="56">
        <f t="shared" si="3"/>
        <v>90262.492114699562</v>
      </c>
      <c r="K60" s="57">
        <f t="shared" si="3"/>
        <v>2602995.4544628561</v>
      </c>
    </row>
    <row r="61" spans="1:11" x14ac:dyDescent="0.15">
      <c r="A61" s="1">
        <f t="shared" si="4"/>
        <v>57</v>
      </c>
      <c r="B61" s="20">
        <v>4.6439000000000055E-3</v>
      </c>
      <c r="C61" s="5">
        <f t="shared" si="8"/>
        <v>93776.022004401631</v>
      </c>
      <c r="D61" s="51">
        <f t="shared" si="5"/>
        <v>435.48646858624124</v>
      </c>
      <c r="E61" s="54">
        <f t="shared" si="1"/>
        <v>0.9719092166672344</v>
      </c>
      <c r="F61" s="55">
        <f t="shared" si="6"/>
        <v>91141.78008846732</v>
      </c>
      <c r="G61" s="56">
        <f t="shared" si="2"/>
        <v>2533349.6293901694</v>
      </c>
      <c r="H61" s="57">
        <f t="shared" si="2"/>
        <v>41253950.751071513</v>
      </c>
      <c r="I61" s="55">
        <f t="shared" si="7"/>
        <v>423.04179165700538</v>
      </c>
      <c r="J61" s="56">
        <f t="shared" si="3"/>
        <v>89875.738294669209</v>
      </c>
      <c r="K61" s="57">
        <f t="shared" si="3"/>
        <v>2512732.9623481566</v>
      </c>
    </row>
    <row r="62" spans="1:11" x14ac:dyDescent="0.15">
      <c r="A62" s="1">
        <f t="shared" si="4"/>
        <v>58</v>
      </c>
      <c r="B62" s="20">
        <v>5.0922000000000025E-3</v>
      </c>
      <c r="C62" s="5">
        <f t="shared" si="8"/>
        <v>93340.53553581539</v>
      </c>
      <c r="D62" s="51">
        <f t="shared" si="5"/>
        <v>475.3086750554794</v>
      </c>
      <c r="E62" s="54">
        <f t="shared" si="1"/>
        <v>0.97142350491477691</v>
      </c>
      <c r="F62" s="55">
        <f t="shared" si="6"/>
        <v>90673.190180824065</v>
      </c>
      <c r="G62" s="56">
        <f t="shared" si="2"/>
        <v>2442207.8493017019</v>
      </c>
      <c r="H62" s="57">
        <f t="shared" si="2"/>
        <v>38720601.12168134</v>
      </c>
      <c r="I62" s="55">
        <f t="shared" si="7"/>
        <v>461.49527140309107</v>
      </c>
      <c r="J62" s="56">
        <f t="shared" si="3"/>
        <v>89452.696503012208</v>
      </c>
      <c r="K62" s="57">
        <f t="shared" si="3"/>
        <v>2422857.2240534872</v>
      </c>
    </row>
    <row r="63" spans="1:11" x14ac:dyDescent="0.15">
      <c r="A63" s="1">
        <f t="shared" si="4"/>
        <v>59</v>
      </c>
      <c r="B63" s="20">
        <v>5.5557999999999701E-3</v>
      </c>
      <c r="C63" s="5">
        <f t="shared" si="8"/>
        <v>92865.226860759911</v>
      </c>
      <c r="D63" s="51">
        <f t="shared" si="5"/>
        <v>515.94062739300716</v>
      </c>
      <c r="E63" s="54">
        <f t="shared" si="1"/>
        <v>0.97093803589682859</v>
      </c>
      <c r="F63" s="55">
        <f t="shared" si="6"/>
        <v>90166.38097129963</v>
      </c>
      <c r="G63" s="56">
        <f t="shared" si="2"/>
        <v>2351534.6591208777</v>
      </c>
      <c r="H63" s="57">
        <f t="shared" si="2"/>
        <v>36278393.272379637</v>
      </c>
      <c r="I63" s="55">
        <f t="shared" si="7"/>
        <v>500.69603138465158</v>
      </c>
      <c r="J63" s="56">
        <f t="shared" si="3"/>
        <v>88991.201231609113</v>
      </c>
      <c r="K63" s="57">
        <f t="shared" si="3"/>
        <v>2333404.5275504747</v>
      </c>
    </row>
    <row r="64" spans="1:11" x14ac:dyDescent="0.15">
      <c r="A64" s="1">
        <f t="shared" si="4"/>
        <v>60</v>
      </c>
      <c r="B64" s="20">
        <v>6.0186000000000449E-3</v>
      </c>
      <c r="C64" s="5">
        <f t="shared" si="8"/>
        <v>92349.286233366904</v>
      </c>
      <c r="D64" s="51">
        <f t="shared" si="5"/>
        <v>555.81341412414622</v>
      </c>
      <c r="E64" s="54">
        <f t="shared" si="1"/>
        <v>0.97045280949208268</v>
      </c>
      <c r="F64" s="55">
        <f t="shared" si="6"/>
        <v>89620.624279759431</v>
      </c>
      <c r="G64" s="56">
        <f t="shared" si="2"/>
        <v>2261368.2781495783</v>
      </c>
      <c r="H64" s="57">
        <f t="shared" si="2"/>
        <v>33926858.613258757</v>
      </c>
      <c r="I64" s="55">
        <f t="shared" si="7"/>
        <v>539.12112872580121</v>
      </c>
      <c r="J64" s="56">
        <f t="shared" si="3"/>
        <v>88490.505200224463</v>
      </c>
      <c r="K64" s="57">
        <f t="shared" si="3"/>
        <v>2244413.3263188656</v>
      </c>
    </row>
    <row r="65" spans="1:11" x14ac:dyDescent="0.15">
      <c r="A65" s="1">
        <f t="shared" si="4"/>
        <v>61</v>
      </c>
      <c r="B65" s="20">
        <v>6.4712999999999611E-3</v>
      </c>
      <c r="C65" s="5">
        <f t="shared" si="8"/>
        <v>91793.472819242757</v>
      </c>
      <c r="D65" s="51">
        <f t="shared" si="5"/>
        <v>594.02310065516212</v>
      </c>
      <c r="E65" s="54">
        <f t="shared" si="1"/>
        <v>0.96996782557929295</v>
      </c>
      <c r="F65" s="55">
        <f t="shared" si="6"/>
        <v>89036.715232852832</v>
      </c>
      <c r="G65" s="56">
        <f t="shared" si="2"/>
        <v>2171747.6538698189</v>
      </c>
      <c r="H65" s="57">
        <f t="shared" si="2"/>
        <v>31665490.335109178</v>
      </c>
      <c r="I65" s="55">
        <f t="shared" si="7"/>
        <v>575.89534761255095</v>
      </c>
      <c r="J65" s="56">
        <f t="shared" si="3"/>
        <v>87951.384071498658</v>
      </c>
      <c r="K65" s="57">
        <f t="shared" si="3"/>
        <v>2155922.8211186412</v>
      </c>
    </row>
    <row r="66" spans="1:11" x14ac:dyDescent="0.15">
      <c r="A66" s="1">
        <f t="shared" si="4"/>
        <v>62</v>
      </c>
      <c r="B66" s="20">
        <v>6.9176000000000445E-3</v>
      </c>
      <c r="C66" s="5">
        <f t="shared" si="8"/>
        <v>91199.449718587595</v>
      </c>
      <c r="D66" s="51">
        <f t="shared" si="5"/>
        <v>630.8813133733056</v>
      </c>
      <c r="E66" s="54">
        <f t="shared" si="1"/>
        <v>0.96948308403727457</v>
      </c>
      <c r="F66" s="55">
        <f t="shared" si="6"/>
        <v>88416.323775678655</v>
      </c>
      <c r="G66" s="56">
        <f t="shared" si="2"/>
        <v>2082710.938636966</v>
      </c>
      <c r="H66" s="57">
        <f t="shared" si="2"/>
        <v>29493742.681239359</v>
      </c>
      <c r="I66" s="55">
        <f t="shared" si="7"/>
        <v>611.32309980073808</v>
      </c>
      <c r="J66" s="56">
        <f t="shared" si="3"/>
        <v>87375.488723886112</v>
      </c>
      <c r="K66" s="57">
        <f t="shared" si="3"/>
        <v>2067971.4370471423</v>
      </c>
    </row>
    <row r="67" spans="1:11" x14ac:dyDescent="0.15">
      <c r="A67" s="1">
        <f t="shared" si="4"/>
        <v>63</v>
      </c>
      <c r="B67" s="20">
        <v>7.3750999999999687E-3</v>
      </c>
      <c r="C67" s="5">
        <f t="shared" si="8"/>
        <v>90568.56840521429</v>
      </c>
      <c r="D67" s="51">
        <f t="shared" si="5"/>
        <v>667.95224884529307</v>
      </c>
      <c r="E67" s="54">
        <f t="shared" si="1"/>
        <v>0.96899858474490186</v>
      </c>
      <c r="F67" s="55">
        <f t="shared" si="6"/>
        <v>87760.814607024484</v>
      </c>
      <c r="G67" s="56">
        <f t="shared" si="2"/>
        <v>1994294.6148612874</v>
      </c>
      <c r="H67" s="57">
        <f t="shared" si="2"/>
        <v>27411031.742602393</v>
      </c>
      <c r="I67" s="55">
        <f t="shared" si="7"/>
        <v>646.92132314669027</v>
      </c>
      <c r="J67" s="56">
        <f t="shared" si="3"/>
        <v>86764.165624085377</v>
      </c>
      <c r="K67" s="57">
        <f t="shared" si="3"/>
        <v>1980595.9483232561</v>
      </c>
    </row>
    <row r="68" spans="1:11" x14ac:dyDescent="0.15">
      <c r="A68" s="1">
        <f t="shared" si="4"/>
        <v>64</v>
      </c>
      <c r="B68" s="20">
        <v>7.8718999999999942E-3</v>
      </c>
      <c r="C68" s="5">
        <f t="shared" si="8"/>
        <v>89900.616156368997</v>
      </c>
      <c r="D68" s="51">
        <f t="shared" si="5"/>
        <v>707.68866032132064</v>
      </c>
      <c r="E68" s="54">
        <f t="shared" ref="E68:E131" si="9">(1+$D$1)^(-$A68)</f>
        <v>0.96851432758111144</v>
      </c>
      <c r="F68" s="55">
        <f t="shared" si="6"/>
        <v>87070.034805813324</v>
      </c>
      <c r="G68" s="56">
        <f t="shared" ref="G68:H129" si="10">G69+F68</f>
        <v>1906533.800254263</v>
      </c>
      <c r="H68" s="57">
        <f t="shared" si="10"/>
        <v>25416737.127741106</v>
      </c>
      <c r="I68" s="55">
        <f t="shared" si="7"/>
        <v>685.06407495040628</v>
      </c>
      <c r="J68" s="56">
        <f t="shared" ref="J68:K129" si="11">J69+I68</f>
        <v>86117.244300938692</v>
      </c>
      <c r="K68" s="57">
        <f t="shared" si="11"/>
        <v>1893831.7826991708</v>
      </c>
    </row>
    <row r="69" spans="1:11" x14ac:dyDescent="0.15">
      <c r="A69" s="1">
        <f t="shared" ref="A69:A131" si="12">1+A68</f>
        <v>65</v>
      </c>
      <c r="B69" s="20">
        <v>8.4460000000000143E-3</v>
      </c>
      <c r="C69" s="5">
        <f t="shared" si="8"/>
        <v>89192.927496047676</v>
      </c>
      <c r="D69" s="51">
        <f t="shared" ref="D69:D130" si="13">C69-C70</f>
        <v>753.32346563161991</v>
      </c>
      <c r="E69" s="54">
        <f t="shared" si="9"/>
        <v>0.96803031242489901</v>
      </c>
      <c r="F69" s="55">
        <f t="shared" ref="F69:F131" si="14">C69*E69</f>
        <v>86341.45747009039</v>
      </c>
      <c r="G69" s="56">
        <f t="shared" si="10"/>
        <v>1819463.7654484496</v>
      </c>
      <c r="H69" s="57">
        <f t="shared" si="10"/>
        <v>23510203.327486843</v>
      </c>
      <c r="I69" s="55">
        <f t="shared" ref="I69:I130" si="15">D69*E70</f>
        <v>728.87551203636656</v>
      </c>
      <c r="J69" s="56">
        <f t="shared" si="11"/>
        <v>85432.180225988282</v>
      </c>
      <c r="K69" s="57">
        <f t="shared" si="11"/>
        <v>1807714.5383982321</v>
      </c>
    </row>
    <row r="70" spans="1:11" x14ac:dyDescent="0.15">
      <c r="A70" s="1">
        <f t="shared" si="12"/>
        <v>66</v>
      </c>
      <c r="B70" s="20">
        <v>9.142000000000039E-3</v>
      </c>
      <c r="C70" s="5">
        <f t="shared" ref="C70:C131" si="16">+C69*(1-$B69)</f>
        <v>88439.604030416056</v>
      </c>
      <c r="D70" s="51">
        <f t="shared" si="13"/>
        <v>808.51486004606704</v>
      </c>
      <c r="E70" s="54">
        <f t="shared" si="9"/>
        <v>0.96754653915532141</v>
      </c>
      <c r="F70" s="55">
        <f t="shared" si="14"/>
        <v>85569.432803896067</v>
      </c>
      <c r="G70" s="56">
        <f t="shared" si="10"/>
        <v>1733122.3079783593</v>
      </c>
      <c r="H70" s="57">
        <f t="shared" si="10"/>
        <v>21690739.562038392</v>
      </c>
      <c r="I70" s="55">
        <f t="shared" si="15"/>
        <v>781.88481228707781</v>
      </c>
      <c r="J70" s="56">
        <f t="shared" si="11"/>
        <v>84703.304713951919</v>
      </c>
      <c r="K70" s="57">
        <f t="shared" si="11"/>
        <v>1722282.3581722437</v>
      </c>
    </row>
    <row r="71" spans="1:11" x14ac:dyDescent="0.15">
      <c r="A71" s="1">
        <f t="shared" si="12"/>
        <v>67</v>
      </c>
      <c r="B71" s="20">
        <v>1.0004700000000049E-2</v>
      </c>
      <c r="C71" s="5">
        <f t="shared" si="16"/>
        <v>87631.089170369989</v>
      </c>
      <c r="D71" s="51">
        <f t="shared" si="13"/>
        <v>876.72275782280485</v>
      </c>
      <c r="E71" s="54">
        <f t="shared" si="9"/>
        <v>0.96706300765149578</v>
      </c>
      <c r="F71" s="55">
        <f t="shared" si="14"/>
        <v>84744.784656874428</v>
      </c>
      <c r="G71" s="56">
        <f t="shared" si="10"/>
        <v>1647552.8751744633</v>
      </c>
      <c r="H71" s="57">
        <f t="shared" si="10"/>
        <v>19957617.254060034</v>
      </c>
      <c r="I71" s="55">
        <f t="shared" si="15"/>
        <v>847.42243583871618</v>
      </c>
      <c r="J71" s="56">
        <f t="shared" si="11"/>
        <v>83921.419901664834</v>
      </c>
      <c r="K71" s="57">
        <f t="shared" si="11"/>
        <v>1637579.0534582918</v>
      </c>
    </row>
    <row r="72" spans="1:11" x14ac:dyDescent="0.15">
      <c r="A72" s="1">
        <f t="shared" si="12"/>
        <v>68</v>
      </c>
      <c r="B72" s="20">
        <v>1.1073500000000021E-2</v>
      </c>
      <c r="C72" s="5">
        <f t="shared" si="16"/>
        <v>86754.366412547184</v>
      </c>
      <c r="D72" s="51">
        <f t="shared" si="13"/>
        <v>960.67447646934306</v>
      </c>
      <c r="E72" s="54">
        <f t="shared" si="9"/>
        <v>0.96657971779259944</v>
      </c>
      <c r="F72" s="55">
        <f t="shared" si="14"/>
        <v>83855.011004315631</v>
      </c>
      <c r="G72" s="56">
        <f t="shared" si="10"/>
        <v>1562808.0905175889</v>
      </c>
      <c r="H72" s="57">
        <f t="shared" si="10"/>
        <v>18310064.378885571</v>
      </c>
      <c r="I72" s="55">
        <f t="shared" si="15"/>
        <v>928.10441215021581</v>
      </c>
      <c r="J72" s="56">
        <f t="shared" si="11"/>
        <v>83073.99746582612</v>
      </c>
      <c r="K72" s="57">
        <f t="shared" si="11"/>
        <v>1553657.633556627</v>
      </c>
    </row>
    <row r="73" spans="1:11" x14ac:dyDescent="0.15">
      <c r="A73" s="1">
        <f t="shared" si="12"/>
        <v>69</v>
      </c>
      <c r="B73" s="20">
        <v>1.2380199999999925E-2</v>
      </c>
      <c r="C73" s="5">
        <f t="shared" si="16"/>
        <v>85793.691936077841</v>
      </c>
      <c r="D73" s="51">
        <f t="shared" si="13"/>
        <v>1062.1430649070244</v>
      </c>
      <c r="E73" s="54">
        <f t="shared" si="9"/>
        <v>0.96609666945787054</v>
      </c>
      <c r="F73" s="55">
        <f t="shared" si="14"/>
        <v>82885.000039939361</v>
      </c>
      <c r="G73" s="56">
        <f t="shared" si="10"/>
        <v>1478953.0795132732</v>
      </c>
      <c r="H73" s="57">
        <f t="shared" si="10"/>
        <v>16747256.288367983</v>
      </c>
      <c r="I73" s="55">
        <f t="shared" si="15"/>
        <v>1025.6200674607207</v>
      </c>
      <c r="J73" s="56">
        <f t="shared" si="11"/>
        <v>82145.8930536759</v>
      </c>
      <c r="K73" s="57">
        <f t="shared" si="11"/>
        <v>1470583.6360908009</v>
      </c>
    </row>
    <row r="74" spans="1:11" x14ac:dyDescent="0.15">
      <c r="A74" s="1">
        <f t="shared" si="12"/>
        <v>70</v>
      </c>
      <c r="B74" s="20">
        <v>1.3948299999999997E-2</v>
      </c>
      <c r="C74" s="5">
        <f t="shared" si="16"/>
        <v>84731.548871170817</v>
      </c>
      <c r="D74" s="51">
        <f t="shared" si="13"/>
        <v>1181.8610631197516</v>
      </c>
      <c r="E74" s="54">
        <f t="shared" si="9"/>
        <v>0.96561386252660719</v>
      </c>
      <c r="F74" s="55">
        <f t="shared" si="14"/>
        <v>81817.958183353243</v>
      </c>
      <c r="G74" s="56">
        <f t="shared" si="10"/>
        <v>1396068.0794733339</v>
      </c>
      <c r="H74" s="57">
        <f t="shared" si="10"/>
        <v>15268303.208854711</v>
      </c>
      <c r="I74" s="55">
        <f t="shared" si="15"/>
        <v>1140.6511005785765</v>
      </c>
      <c r="J74" s="56">
        <f t="shared" si="11"/>
        <v>81120.272986215175</v>
      </c>
      <c r="K74" s="57">
        <f t="shared" si="11"/>
        <v>1388437.7430371249</v>
      </c>
    </row>
    <row r="75" spans="1:11" x14ac:dyDescent="0.15">
      <c r="A75" s="1">
        <f t="shared" si="12"/>
        <v>71</v>
      </c>
      <c r="B75" s="20">
        <v>1.579439999999999E-2</v>
      </c>
      <c r="C75" s="5">
        <f t="shared" si="16"/>
        <v>83549.687808051065</v>
      </c>
      <c r="D75" s="51">
        <f t="shared" si="13"/>
        <v>1319.6171891154809</v>
      </c>
      <c r="E75" s="54">
        <f t="shared" si="9"/>
        <v>0.96513129687816812</v>
      </c>
      <c r="F75" s="55">
        <f t="shared" si="14"/>
        <v>80636.418547950394</v>
      </c>
      <c r="G75" s="56">
        <f t="shared" si="10"/>
        <v>1314250.1212899806</v>
      </c>
      <c r="H75" s="57">
        <f t="shared" si="10"/>
        <v>13872235.129381377</v>
      </c>
      <c r="I75" s="55">
        <f t="shared" si="15"/>
        <v>1272.9673654310316</v>
      </c>
      <c r="J75" s="56">
        <f t="shared" si="11"/>
        <v>79979.621885636603</v>
      </c>
      <c r="K75" s="57">
        <f t="shared" si="11"/>
        <v>1307317.4700509098</v>
      </c>
    </row>
    <row r="76" spans="1:11" x14ac:dyDescent="0.15">
      <c r="A76" s="1">
        <f t="shared" si="12"/>
        <v>72</v>
      </c>
      <c r="B76" s="20">
        <v>1.7928800000000043E-2</v>
      </c>
      <c r="C76" s="5">
        <f t="shared" si="16"/>
        <v>82230.070618935584</v>
      </c>
      <c r="D76" s="51">
        <f t="shared" si="13"/>
        <v>1474.2864901127759</v>
      </c>
      <c r="E76" s="54">
        <f t="shared" si="9"/>
        <v>0.96464897239197223</v>
      </c>
      <c r="F76" s="55">
        <f t="shared" si="14"/>
        <v>79323.153122275515</v>
      </c>
      <c r="G76" s="56">
        <f t="shared" si="10"/>
        <v>1233613.7027420301</v>
      </c>
      <c r="H76" s="57">
        <f t="shared" si="10"/>
        <v>12557985.008091396</v>
      </c>
      <c r="I76" s="55">
        <f t="shared" si="15"/>
        <v>1421.4582185893623</v>
      </c>
      <c r="J76" s="56">
        <f t="shared" si="11"/>
        <v>78706.654520205571</v>
      </c>
      <c r="K76" s="57">
        <f t="shared" si="11"/>
        <v>1227337.8481652732</v>
      </c>
    </row>
    <row r="77" spans="1:11" x14ac:dyDescent="0.15">
      <c r="A77" s="1">
        <f t="shared" si="12"/>
        <v>73</v>
      </c>
      <c r="B77" s="20">
        <v>2.0356799999999949E-2</v>
      </c>
      <c r="C77" s="5">
        <f t="shared" si="16"/>
        <v>80755.784128822808</v>
      </c>
      <c r="D77" s="51">
        <f t="shared" si="13"/>
        <v>1643.929346353616</v>
      </c>
      <c r="E77" s="54">
        <f t="shared" si="9"/>
        <v>0.96416688894749858</v>
      </c>
      <c r="F77" s="55">
        <f t="shared" si="14"/>
        <v>77862.053148002873</v>
      </c>
      <c r="G77" s="56">
        <f t="shared" si="10"/>
        <v>1154290.5496197545</v>
      </c>
      <c r="H77" s="57">
        <f t="shared" si="10"/>
        <v>11324371.305349365</v>
      </c>
      <c r="I77" s="55">
        <f t="shared" si="15"/>
        <v>1584.230128459031</v>
      </c>
      <c r="J77" s="56">
        <f t="shared" si="11"/>
        <v>77285.196301616204</v>
      </c>
      <c r="K77" s="57">
        <f t="shared" si="11"/>
        <v>1148631.1936450675</v>
      </c>
    </row>
    <row r="78" spans="1:11" x14ac:dyDescent="0.15">
      <c r="A78" s="1">
        <f t="shared" si="12"/>
        <v>74</v>
      </c>
      <c r="B78" s="20">
        <v>2.3079699999999977E-2</v>
      </c>
      <c r="C78" s="5">
        <f t="shared" si="16"/>
        <v>79111.854782469192</v>
      </c>
      <c r="D78" s="51">
        <f t="shared" si="13"/>
        <v>1825.8778748229524</v>
      </c>
      <c r="E78" s="54">
        <f t="shared" si="9"/>
        <v>0.96368504642428621</v>
      </c>
      <c r="F78" s="55">
        <f t="shared" si="14"/>
        <v>76238.911448755214</v>
      </c>
      <c r="G78" s="56">
        <f t="shared" si="10"/>
        <v>1076428.4964717517</v>
      </c>
      <c r="H78" s="57">
        <f t="shared" si="10"/>
        <v>10170080.75572961</v>
      </c>
      <c r="I78" s="55">
        <f t="shared" si="15"/>
        <v>1758.6918586345171</v>
      </c>
      <c r="J78" s="56">
        <f t="shared" si="11"/>
        <v>75700.966173157169</v>
      </c>
      <c r="K78" s="57">
        <f t="shared" si="11"/>
        <v>1071345.9973434513</v>
      </c>
    </row>
    <row r="79" spans="1:11" x14ac:dyDescent="0.15">
      <c r="A79" s="1">
        <f t="shared" si="12"/>
        <v>75</v>
      </c>
      <c r="B79" s="20">
        <v>2.609700000000004E-2</v>
      </c>
      <c r="C79" s="5">
        <f t="shared" si="16"/>
        <v>77285.97690764624</v>
      </c>
      <c r="D79" s="51">
        <f t="shared" si="13"/>
        <v>2016.9321393588471</v>
      </c>
      <c r="E79" s="54">
        <f t="shared" si="9"/>
        <v>0.96320344470193542</v>
      </c>
      <c r="F79" s="55">
        <f t="shared" si="14"/>
        <v>74442.119184599098</v>
      </c>
      <c r="G79" s="56">
        <f t="shared" si="10"/>
        <v>1000189.5850229965</v>
      </c>
      <c r="H79" s="57">
        <f t="shared" si="10"/>
        <v>9093652.2592578586</v>
      </c>
      <c r="I79" s="55">
        <f t="shared" si="15"/>
        <v>1941.7451118045831</v>
      </c>
      <c r="J79" s="56">
        <f t="shared" si="11"/>
        <v>73942.274314522656</v>
      </c>
      <c r="K79" s="57">
        <f t="shared" si="11"/>
        <v>995645.03117029404</v>
      </c>
    </row>
    <row r="80" spans="1:11" x14ac:dyDescent="0.15">
      <c r="A80" s="1">
        <f t="shared" si="12"/>
        <v>76</v>
      </c>
      <c r="B80" s="20">
        <v>2.9408099999999975E-2</v>
      </c>
      <c r="C80" s="5">
        <f t="shared" si="16"/>
        <v>75269.044768287393</v>
      </c>
      <c r="D80" s="51">
        <f t="shared" si="13"/>
        <v>2213.5195954502706</v>
      </c>
      <c r="E80" s="54">
        <f t="shared" si="9"/>
        <v>0.96272208366010525</v>
      </c>
      <c r="F80" s="55">
        <f t="shared" si="14"/>
        <v>72463.171614431383</v>
      </c>
      <c r="G80" s="56">
        <f t="shared" si="10"/>
        <v>925747.46583839739</v>
      </c>
      <c r="H80" s="57">
        <f t="shared" si="10"/>
        <v>8093462.6742348615</v>
      </c>
      <c r="I80" s="55">
        <f t="shared" si="15"/>
        <v>2129.9392275405876</v>
      </c>
      <c r="J80" s="56">
        <f t="shared" si="11"/>
        <v>72000.529202718069</v>
      </c>
      <c r="K80" s="57">
        <f t="shared" si="11"/>
        <v>921702.75685577141</v>
      </c>
    </row>
    <row r="81" spans="1:11" x14ac:dyDescent="0.15">
      <c r="A81" s="1">
        <f t="shared" si="12"/>
        <v>77</v>
      </c>
      <c r="B81" s="20">
        <v>3.301239999999999E-2</v>
      </c>
      <c r="C81" s="5">
        <f t="shared" si="16"/>
        <v>73055.525172837122</v>
      </c>
      <c r="D81" s="51">
        <f t="shared" si="13"/>
        <v>2411.7382192157675</v>
      </c>
      <c r="E81" s="54">
        <f t="shared" si="9"/>
        <v>0.96224096317851615</v>
      </c>
      <c r="F81" s="55">
        <f t="shared" si="14"/>
        <v>70297.01890782312</v>
      </c>
      <c r="G81" s="56">
        <f t="shared" si="10"/>
        <v>853284.29422396596</v>
      </c>
      <c r="H81" s="57">
        <f t="shared" si="10"/>
        <v>7167715.2083964637</v>
      </c>
      <c r="I81" s="55">
        <f t="shared" si="15"/>
        <v>2319.5135502175112</v>
      </c>
      <c r="J81" s="56">
        <f t="shared" si="11"/>
        <v>69870.589975177485</v>
      </c>
      <c r="K81" s="57">
        <f t="shared" si="11"/>
        <v>849702.22765305336</v>
      </c>
    </row>
    <row r="82" spans="1:11" x14ac:dyDescent="0.15">
      <c r="A82" s="1">
        <f t="shared" si="12"/>
        <v>78</v>
      </c>
      <c r="B82" s="20">
        <v>3.691059999999996E-2</v>
      </c>
      <c r="C82" s="5">
        <f t="shared" si="16"/>
        <v>70643.786953621355</v>
      </c>
      <c r="D82" s="51">
        <f t="shared" si="13"/>
        <v>2607.5045627303334</v>
      </c>
      <c r="E82" s="54">
        <f t="shared" si="9"/>
        <v>0.96176008313694794</v>
      </c>
      <c r="F82" s="55">
        <f t="shared" si="14"/>
        <v>67942.374413623707</v>
      </c>
      <c r="G82" s="56">
        <f t="shared" si="10"/>
        <v>782987.27531614283</v>
      </c>
      <c r="H82" s="57">
        <f t="shared" si="10"/>
        <v>6314430.9141724976</v>
      </c>
      <c r="I82" s="55">
        <f t="shared" si="15"/>
        <v>2506.540534764114</v>
      </c>
      <c r="J82" s="56">
        <f t="shared" si="11"/>
        <v>67551.076424959974</v>
      </c>
      <c r="K82" s="57">
        <f t="shared" si="11"/>
        <v>779831.63767787593</v>
      </c>
    </row>
    <row r="83" spans="1:11" x14ac:dyDescent="0.15">
      <c r="A83" s="1">
        <f t="shared" si="12"/>
        <v>79</v>
      </c>
      <c r="B83" s="20">
        <v>4.11066E-2</v>
      </c>
      <c r="C83" s="5">
        <f t="shared" si="16"/>
        <v>68036.282390891021</v>
      </c>
      <c r="D83" s="51">
        <f t="shared" si="13"/>
        <v>2796.7402457294011</v>
      </c>
      <c r="E83" s="54">
        <f t="shared" si="9"/>
        <v>0.96127944341524008</v>
      </c>
      <c r="F83" s="55">
        <f t="shared" si="14"/>
        <v>65401.879668757821</v>
      </c>
      <c r="G83" s="56">
        <f t="shared" si="10"/>
        <v>715044.90090251912</v>
      </c>
      <c r="H83" s="57">
        <f t="shared" si="10"/>
        <v>5531443.6388563551</v>
      </c>
      <c r="I83" s="55">
        <f t="shared" si="15"/>
        <v>2687.105354114703</v>
      </c>
      <c r="J83" s="56">
        <f t="shared" si="11"/>
        <v>65044.535890195861</v>
      </c>
      <c r="K83" s="57">
        <f t="shared" si="11"/>
        <v>712280.561252916</v>
      </c>
    </row>
    <row r="84" spans="1:11" x14ac:dyDescent="0.15">
      <c r="A84" s="1">
        <f t="shared" si="12"/>
        <v>80</v>
      </c>
      <c r="B84" s="20">
        <v>4.5610400000000051E-2</v>
      </c>
      <c r="C84" s="5">
        <f t="shared" si="16"/>
        <v>65239.54214516162</v>
      </c>
      <c r="D84" s="51">
        <f t="shared" si="13"/>
        <v>2975.6016130576827</v>
      </c>
      <c r="E84" s="54">
        <f t="shared" si="9"/>
        <v>0.9607990438932934</v>
      </c>
      <c r="F84" s="55">
        <f t="shared" si="14"/>
        <v>62682.089717107505</v>
      </c>
      <c r="G84" s="56">
        <f t="shared" si="10"/>
        <v>649643.02123376133</v>
      </c>
      <c r="H84" s="57">
        <f t="shared" si="10"/>
        <v>4816398.7379538361</v>
      </c>
      <c r="I84" s="55">
        <f t="shared" si="15"/>
        <v>2857.5264216223522</v>
      </c>
      <c r="J84" s="56">
        <f t="shared" si="11"/>
        <v>62357.430536081156</v>
      </c>
      <c r="K84" s="57">
        <f t="shared" si="11"/>
        <v>647236.02536272013</v>
      </c>
    </row>
    <row r="85" spans="1:11" x14ac:dyDescent="0.15">
      <c r="A85" s="1">
        <f t="shared" si="12"/>
        <v>81</v>
      </c>
      <c r="B85" s="20">
        <v>5.0440000000000061E-2</v>
      </c>
      <c r="C85" s="5">
        <f t="shared" si="16"/>
        <v>62263.940532103938</v>
      </c>
      <c r="D85" s="51">
        <f t="shared" si="13"/>
        <v>3140.5931604393263</v>
      </c>
      <c r="E85" s="54">
        <f t="shared" si="9"/>
        <v>0.96031888445106794</v>
      </c>
      <c r="F85" s="55">
        <f t="shared" si="14"/>
        <v>59793.237913317687</v>
      </c>
      <c r="G85" s="56">
        <f t="shared" si="10"/>
        <v>586960.93151665386</v>
      </c>
      <c r="H85" s="57">
        <f t="shared" si="10"/>
        <v>4166755.7167200744</v>
      </c>
      <c r="I85" s="55">
        <f t="shared" si="15"/>
        <v>3014.4636885034956</v>
      </c>
      <c r="J85" s="56">
        <f t="shared" si="11"/>
        <v>59499.904114458805</v>
      </c>
      <c r="K85" s="57">
        <f t="shared" si="11"/>
        <v>584878.59482663893</v>
      </c>
    </row>
    <row r="86" spans="1:11" x14ac:dyDescent="0.15">
      <c r="A86" s="1">
        <f t="shared" si="12"/>
        <v>82</v>
      </c>
      <c r="B86" s="20">
        <v>5.5623800000000057E-2</v>
      </c>
      <c r="C86" s="5">
        <f t="shared" si="16"/>
        <v>59123.347371664611</v>
      </c>
      <c r="D86" s="51">
        <f t="shared" si="13"/>
        <v>3288.6652495320013</v>
      </c>
      <c r="E86" s="54">
        <f t="shared" si="9"/>
        <v>0.95983896496858356</v>
      </c>
      <c r="F86" s="55">
        <f t="shared" si="14"/>
        <v>56748.892546696588</v>
      </c>
      <c r="G86" s="56">
        <f t="shared" si="10"/>
        <v>527167.69360333611</v>
      </c>
      <c r="H86" s="57">
        <f t="shared" si="10"/>
        <v>3579794.7852034206</v>
      </c>
      <c r="I86" s="55">
        <f t="shared" si="15"/>
        <v>3155.0115434672116</v>
      </c>
      <c r="J86" s="56">
        <f t="shared" si="11"/>
        <v>56485.440425955312</v>
      </c>
      <c r="K86" s="57">
        <f t="shared" si="11"/>
        <v>525378.69071218011</v>
      </c>
    </row>
    <row r="87" spans="1:11" x14ac:dyDescent="0.15">
      <c r="A87" s="1">
        <f t="shared" si="12"/>
        <v>83</v>
      </c>
      <c r="B87" s="20">
        <v>6.1201999999999937E-2</v>
      </c>
      <c r="C87" s="5">
        <f t="shared" si="16"/>
        <v>55834.68212213261</v>
      </c>
      <c r="D87" s="51">
        <f t="shared" si="13"/>
        <v>3417.1942152387564</v>
      </c>
      <c r="E87" s="54">
        <f t="shared" si="9"/>
        <v>0.95935928532592074</v>
      </c>
      <c r="F87" s="55">
        <f t="shared" si="14"/>
        <v>53565.520737089108</v>
      </c>
      <c r="G87" s="56">
        <f t="shared" si="10"/>
        <v>470418.80105663952</v>
      </c>
      <c r="H87" s="57">
        <f t="shared" si="10"/>
        <v>3052627.0916000847</v>
      </c>
      <c r="I87" s="55">
        <f t="shared" si="15"/>
        <v>3276.678660820914</v>
      </c>
      <c r="J87" s="56">
        <f t="shared" si="11"/>
        <v>53330.4288824881</v>
      </c>
      <c r="K87" s="57">
        <f t="shared" si="11"/>
        <v>468893.25028622476</v>
      </c>
    </row>
    <row r="88" spans="1:11" x14ac:dyDescent="0.15">
      <c r="A88" s="1">
        <f t="shared" si="12"/>
        <v>84</v>
      </c>
      <c r="B88" s="20">
        <v>6.7227499999999996E-2</v>
      </c>
      <c r="C88" s="5">
        <f t="shared" si="16"/>
        <v>52417.487906893854</v>
      </c>
      <c r="D88" s="51">
        <f t="shared" si="13"/>
        <v>3523.8966682607061</v>
      </c>
      <c r="E88" s="54">
        <f t="shared" si="9"/>
        <v>0.95887984540321924</v>
      </c>
      <c r="F88" s="55">
        <f t="shared" si="14"/>
        <v>50262.072700587494</v>
      </c>
      <c r="G88" s="56">
        <f t="shared" si="10"/>
        <v>416853.28031955042</v>
      </c>
      <c r="H88" s="57">
        <f t="shared" si="10"/>
        <v>2582208.2905434454</v>
      </c>
      <c r="I88" s="55">
        <f t="shared" si="15"/>
        <v>3377.3048400587159</v>
      </c>
      <c r="J88" s="56">
        <f t="shared" si="11"/>
        <v>50053.750221667186</v>
      </c>
      <c r="K88" s="57">
        <f t="shared" si="11"/>
        <v>415562.82140373666</v>
      </c>
    </row>
    <row r="89" spans="1:11" x14ac:dyDescent="0.15">
      <c r="A89" s="1">
        <f t="shared" si="12"/>
        <v>85</v>
      </c>
      <c r="B89" s="20">
        <v>7.3766400000000079E-2</v>
      </c>
      <c r="C89" s="5">
        <f t="shared" si="16"/>
        <v>48893.591238633147</v>
      </c>
      <c r="D89" s="51">
        <f t="shared" si="13"/>
        <v>3606.704208745512</v>
      </c>
      <c r="E89" s="54">
        <f t="shared" si="9"/>
        <v>0.9584006450806789</v>
      </c>
      <c r="F89" s="55">
        <f t="shared" si="14"/>
        <v>46859.64938341704</v>
      </c>
      <c r="G89" s="56">
        <f t="shared" si="10"/>
        <v>366591.20761896292</v>
      </c>
      <c r="H89" s="57">
        <f t="shared" si="10"/>
        <v>2165355.0102238948</v>
      </c>
      <c r="I89" s="55">
        <f t="shared" si="15"/>
        <v>3454.9401701918032</v>
      </c>
      <c r="J89" s="56">
        <f t="shared" si="11"/>
        <v>46676.445381608472</v>
      </c>
      <c r="K89" s="57">
        <f t="shared" si="11"/>
        <v>365509.07118206949</v>
      </c>
    </row>
    <row r="90" spans="1:11" x14ac:dyDescent="0.15">
      <c r="A90" s="1">
        <f t="shared" si="12"/>
        <v>86</v>
      </c>
      <c r="B90" s="20">
        <v>8.0897499999999928E-2</v>
      </c>
      <c r="C90" s="5">
        <f t="shared" si="16"/>
        <v>45286.887029887635</v>
      </c>
      <c r="D90" s="51">
        <f t="shared" si="13"/>
        <v>3663.5959435003315</v>
      </c>
      <c r="E90" s="54">
        <f t="shared" si="9"/>
        <v>0.95792168423855983</v>
      </c>
      <c r="F90" s="55">
        <f t="shared" si="14"/>
        <v>43381.291097591355</v>
      </c>
      <c r="G90" s="56">
        <f t="shared" si="10"/>
        <v>319731.55823554588</v>
      </c>
      <c r="H90" s="57">
        <f t="shared" si="10"/>
        <v>1798763.8026049319</v>
      </c>
      <c r="I90" s="55">
        <f t="shared" si="15"/>
        <v>3507.6841544901472</v>
      </c>
      <c r="J90" s="56">
        <f t="shared" si="11"/>
        <v>43221.505211416668</v>
      </c>
      <c r="K90" s="57">
        <f t="shared" si="11"/>
        <v>318832.62580046098</v>
      </c>
    </row>
    <row r="91" spans="1:11" x14ac:dyDescent="0.15">
      <c r="A91" s="1">
        <f t="shared" si="12"/>
        <v>87</v>
      </c>
      <c r="B91" s="20">
        <v>8.8712099999999905E-2</v>
      </c>
      <c r="C91" s="5">
        <f t="shared" si="16"/>
        <v>41623.291086387304</v>
      </c>
      <c r="D91" s="51">
        <f t="shared" si="13"/>
        <v>3692.489561184695</v>
      </c>
      <c r="E91" s="54">
        <f t="shared" si="9"/>
        <v>0.95744296275718099</v>
      </c>
      <c r="F91" s="55">
        <f t="shared" si="14"/>
        <v>39851.927137455226</v>
      </c>
      <c r="G91" s="56">
        <f t="shared" si="10"/>
        <v>276350.26713795454</v>
      </c>
      <c r="H91" s="57">
        <f t="shared" si="10"/>
        <v>1479032.244369386</v>
      </c>
      <c r="I91" s="55">
        <f t="shared" si="15"/>
        <v>3533.5813547332709</v>
      </c>
      <c r="J91" s="56">
        <f t="shared" si="11"/>
        <v>39713.821056926521</v>
      </c>
      <c r="K91" s="57">
        <f t="shared" si="11"/>
        <v>275611.12058904429</v>
      </c>
    </row>
    <row r="92" spans="1:11" x14ac:dyDescent="0.15">
      <c r="A92" s="1">
        <f t="shared" si="12"/>
        <v>88</v>
      </c>
      <c r="B92" s="20">
        <v>9.7312599999999888E-2</v>
      </c>
      <c r="C92" s="5">
        <f t="shared" si="16"/>
        <v>37930.801525202609</v>
      </c>
      <c r="D92" s="51">
        <f t="shared" si="13"/>
        <v>3691.1449165014274</v>
      </c>
      <c r="E92" s="54">
        <f t="shared" si="9"/>
        <v>0.95696448051692251</v>
      </c>
      <c r="F92" s="55">
        <f t="shared" si="14"/>
        <v>36298.429777156009</v>
      </c>
      <c r="G92" s="56">
        <f t="shared" si="10"/>
        <v>236498.3400004993</v>
      </c>
      <c r="H92" s="57">
        <f t="shared" si="10"/>
        <v>1202681.9772314315</v>
      </c>
      <c r="I92" s="55">
        <f t="shared" si="15"/>
        <v>3530.5293128760304</v>
      </c>
      <c r="J92" s="56">
        <f t="shared" si="11"/>
        <v>36180.239702193248</v>
      </c>
      <c r="K92" s="57">
        <f t="shared" si="11"/>
        <v>235897.29953211779</v>
      </c>
    </row>
    <row r="93" spans="1:11" x14ac:dyDescent="0.15">
      <c r="A93" s="1">
        <f t="shared" si="12"/>
        <v>89</v>
      </c>
      <c r="B93" s="20">
        <v>0.10681110000000008</v>
      </c>
      <c r="C93" s="5">
        <f t="shared" si="16"/>
        <v>34239.656608701182</v>
      </c>
      <c r="D93" s="51">
        <f t="shared" si="13"/>
        <v>3657.1753859976452</v>
      </c>
      <c r="E93" s="54">
        <f t="shared" si="9"/>
        <v>0.95648623739822358</v>
      </c>
      <c r="F93" s="55">
        <f t="shared" si="14"/>
        <v>32749.760319463814</v>
      </c>
      <c r="G93" s="56">
        <f t="shared" si="10"/>
        <v>200199.91022334329</v>
      </c>
      <c r="H93" s="57">
        <f t="shared" si="10"/>
        <v>966183.63723093213</v>
      </c>
      <c r="I93" s="55">
        <f t="shared" si="15"/>
        <v>3496.2897795684989</v>
      </c>
      <c r="J93" s="56">
        <f t="shared" si="11"/>
        <v>32649.710389317217</v>
      </c>
      <c r="K93" s="57">
        <f t="shared" si="11"/>
        <v>199717.05982992455</v>
      </c>
    </row>
    <row r="94" spans="1:11" x14ac:dyDescent="0.15">
      <c r="A94" s="1">
        <f t="shared" si="12"/>
        <v>90</v>
      </c>
      <c r="B94" s="20">
        <v>0.11732769999999999</v>
      </c>
      <c r="C94" s="5">
        <f t="shared" si="16"/>
        <v>30582.481222703536</v>
      </c>
      <c r="D94" s="51">
        <f t="shared" si="13"/>
        <v>3588.1721821529936</v>
      </c>
      <c r="E94" s="54">
        <f t="shared" si="9"/>
        <v>0.95600823328158269</v>
      </c>
      <c r="F94" s="55">
        <f t="shared" si="14"/>
        <v>29237.103843083984</v>
      </c>
      <c r="G94" s="56">
        <f t="shared" si="10"/>
        <v>167450.14990387947</v>
      </c>
      <c r="H94" s="57">
        <f t="shared" si="10"/>
        <v>765983.72700758884</v>
      </c>
      <c r="I94" s="55">
        <f t="shared" si="15"/>
        <v>3428.6078446478805</v>
      </c>
      <c r="J94" s="56">
        <f t="shared" si="11"/>
        <v>29153.420609748719</v>
      </c>
      <c r="K94" s="57">
        <f t="shared" si="11"/>
        <v>167067.34944060733</v>
      </c>
    </row>
    <row r="95" spans="1:11" x14ac:dyDescent="0.15">
      <c r="A95" s="1">
        <f t="shared" si="12"/>
        <v>91</v>
      </c>
      <c r="B95" s="20">
        <v>0.12898870000000009</v>
      </c>
      <c r="C95" s="5">
        <f t="shared" si="16"/>
        <v>26994.309040550543</v>
      </c>
      <c r="D95" s="51">
        <f t="shared" si="13"/>
        <v>3481.9608305388647</v>
      </c>
      <c r="E95" s="54">
        <f t="shared" si="9"/>
        <v>0.95553046804755881</v>
      </c>
      <c r="F95" s="55">
        <f t="shared" si="14"/>
        <v>25793.884752137707</v>
      </c>
      <c r="G95" s="56">
        <f t="shared" si="10"/>
        <v>138213.04606079549</v>
      </c>
      <c r="H95" s="57">
        <f t="shared" si="10"/>
        <v>598533.57710370934</v>
      </c>
      <c r="I95" s="55">
        <f t="shared" si="15"/>
        <v>3325.4569336612381</v>
      </c>
      <c r="J95" s="56">
        <f t="shared" si="11"/>
        <v>25724.812765100836</v>
      </c>
      <c r="K95" s="57">
        <f t="shared" si="11"/>
        <v>137913.92883085861</v>
      </c>
    </row>
    <row r="96" spans="1:11" x14ac:dyDescent="0.15">
      <c r="A96" s="1">
        <f t="shared" si="12"/>
        <v>92</v>
      </c>
      <c r="B96" s="20">
        <v>0.14192409999999997</v>
      </c>
      <c r="C96" s="5">
        <f t="shared" si="16"/>
        <v>23512.348210011678</v>
      </c>
      <c r="D96" s="51">
        <f t="shared" si="13"/>
        <v>3336.9688585925178</v>
      </c>
      <c r="E96" s="54">
        <f t="shared" si="9"/>
        <v>0.95505294157677056</v>
      </c>
      <c r="F96" s="55">
        <f t="shared" si="14"/>
        <v>22455.537321348969</v>
      </c>
      <c r="G96" s="56">
        <f t="shared" si="10"/>
        <v>112419.16130865779</v>
      </c>
      <c r="H96" s="57">
        <f t="shared" si="10"/>
        <v>460320.53104291385</v>
      </c>
      <c r="I96" s="55">
        <f t="shared" si="15"/>
        <v>3185.3892297339962</v>
      </c>
      <c r="J96" s="56">
        <f t="shared" si="11"/>
        <v>22399.3558314396</v>
      </c>
      <c r="K96" s="57">
        <f t="shared" si="11"/>
        <v>112189.11606575779</v>
      </c>
    </row>
    <row r="97" spans="1:11" x14ac:dyDescent="0.15">
      <c r="A97" s="1">
        <f t="shared" si="12"/>
        <v>93</v>
      </c>
      <c r="B97" s="20">
        <v>0.15626580000000001</v>
      </c>
      <c r="C97" s="5">
        <f t="shared" si="16"/>
        <v>20175.37935141916</v>
      </c>
      <c r="D97" s="51">
        <f t="shared" si="13"/>
        <v>3152.7217946529963</v>
      </c>
      <c r="E97" s="54">
        <f t="shared" si="9"/>
        <v>0.95457565374989573</v>
      </c>
      <c r="F97" s="55">
        <f t="shared" si="14"/>
        <v>19258.925934033094</v>
      </c>
      <c r="G97" s="56">
        <f t="shared" si="10"/>
        <v>89963.62398730882</v>
      </c>
      <c r="H97" s="57">
        <f t="shared" si="10"/>
        <v>347901.36973425606</v>
      </c>
      <c r="I97" s="55">
        <f t="shared" si="15"/>
        <v>3008.0074644901842</v>
      </c>
      <c r="J97" s="56">
        <f t="shared" si="11"/>
        <v>19213.966601705604</v>
      </c>
      <c r="K97" s="57">
        <f t="shared" si="11"/>
        <v>89789.760234318193</v>
      </c>
    </row>
    <row r="98" spans="1:11" x14ac:dyDescent="0.15">
      <c r="A98" s="1">
        <f t="shared" si="12"/>
        <v>94</v>
      </c>
      <c r="B98" s="20">
        <v>0.17214489999999991</v>
      </c>
      <c r="C98" s="5">
        <f t="shared" si="16"/>
        <v>17022.657556766164</v>
      </c>
      <c r="D98" s="51">
        <f t="shared" si="13"/>
        <v>2930.3636828437538</v>
      </c>
      <c r="E98" s="54">
        <f t="shared" si="9"/>
        <v>0.95409860444767214</v>
      </c>
      <c r="F98" s="55">
        <f t="shared" si="14"/>
        <v>16241.293818901217</v>
      </c>
      <c r="G98" s="56">
        <f t="shared" si="10"/>
        <v>70704.69805327573</v>
      </c>
      <c r="H98" s="57">
        <f t="shared" si="10"/>
        <v>257937.74574694727</v>
      </c>
      <c r="I98" s="55">
        <f t="shared" si="15"/>
        <v>2794.4586709898708</v>
      </c>
      <c r="J98" s="56">
        <f t="shared" si="11"/>
        <v>16205.959137215421</v>
      </c>
      <c r="K98" s="57">
        <f t="shared" si="11"/>
        <v>70575.793632612593</v>
      </c>
    </row>
    <row r="99" spans="1:11" x14ac:dyDescent="0.15">
      <c r="A99" s="1">
        <f t="shared" si="12"/>
        <v>95</v>
      </c>
      <c r="B99" s="20">
        <v>0.1896901</v>
      </c>
      <c r="C99" s="5">
        <f t="shared" si="16"/>
        <v>14092.29387392241</v>
      </c>
      <c r="D99" s="51">
        <f t="shared" si="13"/>
        <v>2673.1686341737295</v>
      </c>
      <c r="E99" s="54">
        <f t="shared" si="9"/>
        <v>0.95362179355089638</v>
      </c>
      <c r="F99" s="55">
        <f t="shared" si="14"/>
        <v>13438.718559296198</v>
      </c>
      <c r="G99" s="56">
        <f t="shared" si="10"/>
        <v>54463.40423437451</v>
      </c>
      <c r="H99" s="57">
        <f t="shared" si="10"/>
        <v>187233.04769367154</v>
      </c>
      <c r="I99" s="55">
        <f t="shared" si="15"/>
        <v>2547.9179084305374</v>
      </c>
      <c r="J99" s="56">
        <f t="shared" si="11"/>
        <v>13411.500466225551</v>
      </c>
      <c r="K99" s="57">
        <f t="shared" si="11"/>
        <v>54369.834495397168</v>
      </c>
    </row>
    <row r="100" spans="1:11" x14ac:dyDescent="0.15">
      <c r="A100" s="1">
        <f t="shared" si="12"/>
        <v>96</v>
      </c>
      <c r="B100" s="20">
        <v>0.20902560000000003</v>
      </c>
      <c r="C100" s="5">
        <f t="shared" si="16"/>
        <v>11419.125239748681</v>
      </c>
      <c r="D100" s="51">
        <f t="shared" si="13"/>
        <v>2386.889504713612</v>
      </c>
      <c r="E100" s="54">
        <f t="shared" si="9"/>
        <v>0.95314522094042642</v>
      </c>
      <c r="F100" s="55">
        <f t="shared" si="14"/>
        <v>10884.084649586655</v>
      </c>
      <c r="G100" s="56">
        <f t="shared" si="10"/>
        <v>41024.685675078312</v>
      </c>
      <c r="H100" s="57">
        <f t="shared" si="10"/>
        <v>132769.64345929705</v>
      </c>
      <c r="I100" s="55">
        <f t="shared" si="15"/>
        <v>2273.9153666473167</v>
      </c>
      <c r="J100" s="56">
        <f t="shared" si="11"/>
        <v>10863.582557795013</v>
      </c>
      <c r="K100" s="57">
        <f t="shared" si="11"/>
        <v>40958.334029171616</v>
      </c>
    </row>
    <row r="101" spans="1:11" x14ac:dyDescent="0.15">
      <c r="A101" s="1">
        <f t="shared" si="12"/>
        <v>97</v>
      </c>
      <c r="B101" s="20">
        <v>0.2302699</v>
      </c>
      <c r="C101" s="5">
        <f t="shared" si="16"/>
        <v>9032.2357350350685</v>
      </c>
      <c r="D101" s="51">
        <f t="shared" si="13"/>
        <v>2079.8520194829516</v>
      </c>
      <c r="E101" s="54">
        <f t="shared" si="9"/>
        <v>0.95266888649717774</v>
      </c>
      <c r="F101" s="55">
        <f t="shared" si="14"/>
        <v>8604.7299602758758</v>
      </c>
      <c r="G101" s="56">
        <f t="shared" si="10"/>
        <v>30140.601025491658</v>
      </c>
      <c r="H101" s="57">
        <f t="shared" si="10"/>
        <v>91744.957784218743</v>
      </c>
      <c r="I101" s="55">
        <f t="shared" si="15"/>
        <v>1980.4200974310149</v>
      </c>
      <c r="J101" s="56">
        <f t="shared" si="11"/>
        <v>8589.6671911476951</v>
      </c>
      <c r="K101" s="57">
        <f t="shared" si="11"/>
        <v>30094.751471376603</v>
      </c>
    </row>
    <row r="102" spans="1:11" x14ac:dyDescent="0.15">
      <c r="A102" s="1">
        <f t="shared" si="12"/>
        <v>98</v>
      </c>
      <c r="B102" s="20">
        <v>0.2535346</v>
      </c>
      <c r="C102" s="5">
        <f t="shared" si="16"/>
        <v>6952.3837155521169</v>
      </c>
      <c r="D102" s="51">
        <f t="shared" si="13"/>
        <v>1762.6698243690198</v>
      </c>
      <c r="E102" s="54">
        <f t="shared" si="9"/>
        <v>0.95219279010212687</v>
      </c>
      <c r="F102" s="55">
        <f t="shared" si="14"/>
        <v>6620.0096479721615</v>
      </c>
      <c r="G102" s="56">
        <f t="shared" si="10"/>
        <v>21535.871065215782</v>
      </c>
      <c r="H102" s="57">
        <f t="shared" si="10"/>
        <v>61604.356758727081</v>
      </c>
      <c r="I102" s="55">
        <f t="shared" si="15"/>
        <v>1677.5627167363946</v>
      </c>
      <c r="J102" s="56">
        <f t="shared" si="11"/>
        <v>6609.2470937166809</v>
      </c>
      <c r="K102" s="57">
        <f t="shared" si="11"/>
        <v>21505.084280228908</v>
      </c>
    </row>
    <row r="103" spans="1:11" x14ac:dyDescent="0.15">
      <c r="A103" s="1">
        <f t="shared" si="12"/>
        <v>99</v>
      </c>
      <c r="B103" s="20">
        <v>0.27892310000000003</v>
      </c>
      <c r="C103" s="5">
        <f t="shared" si="16"/>
        <v>5189.7138911830971</v>
      </c>
      <c r="D103" s="51">
        <f t="shared" si="13"/>
        <v>1447.5310866418527</v>
      </c>
      <c r="E103" s="54">
        <f t="shared" si="9"/>
        <v>0.95171693163630866</v>
      </c>
      <c r="F103" s="55">
        <f t="shared" si="14"/>
        <v>4939.138580587105</v>
      </c>
      <c r="G103" s="56">
        <f t="shared" si="10"/>
        <v>14915.861417243619</v>
      </c>
      <c r="H103" s="57">
        <f t="shared" si="10"/>
        <v>40068.485693511298</v>
      </c>
      <c r="I103" s="55">
        <f t="shared" si="15"/>
        <v>1376.9513685426843</v>
      </c>
      <c r="J103" s="56">
        <f t="shared" si="11"/>
        <v>4931.6843769802863</v>
      </c>
      <c r="K103" s="57">
        <f t="shared" si="11"/>
        <v>14895.837186512228</v>
      </c>
    </row>
    <row r="104" spans="1:11" x14ac:dyDescent="0.15">
      <c r="A104" s="1">
        <f t="shared" si="12"/>
        <v>100</v>
      </c>
      <c r="B104" s="20">
        <v>0.30653039999999998</v>
      </c>
      <c r="C104" s="5">
        <f t="shared" si="16"/>
        <v>3742.1828045412444</v>
      </c>
      <c r="D104" s="51">
        <f t="shared" si="13"/>
        <v>1147.0927919491496</v>
      </c>
      <c r="E104" s="54">
        <f t="shared" si="9"/>
        <v>0.95124131098081821</v>
      </c>
      <c r="F104" s="55">
        <f t="shared" si="14"/>
        <v>3559.7188769216882</v>
      </c>
      <c r="G104" s="56">
        <f t="shared" si="10"/>
        <v>9976.7228366565141</v>
      </c>
      <c r="H104" s="57">
        <f t="shared" si="10"/>
        <v>25152.624276267681</v>
      </c>
      <c r="I104" s="55">
        <f t="shared" si="15"/>
        <v>1090.6167428589265</v>
      </c>
      <c r="J104" s="56">
        <f t="shared" si="11"/>
        <v>3554.7330084376022</v>
      </c>
      <c r="K104" s="57">
        <f t="shared" si="11"/>
        <v>9964.1528095319427</v>
      </c>
    </row>
    <row r="105" spans="1:11" x14ac:dyDescent="0.15">
      <c r="A105" s="1">
        <f t="shared" si="12"/>
        <v>101</v>
      </c>
      <c r="B105" s="20">
        <v>0.33644279999999999</v>
      </c>
      <c r="C105" s="5">
        <f t="shared" si="16"/>
        <v>2595.0900125920948</v>
      </c>
      <c r="D105" s="51">
        <f t="shared" si="13"/>
        <v>873.09935008851949</v>
      </c>
      <c r="E105" s="54">
        <f t="shared" si="9"/>
        <v>0.95076592801680981</v>
      </c>
      <c r="F105" s="55">
        <f t="shared" si="14"/>
        <v>2467.3231641092775</v>
      </c>
      <c r="G105" s="56">
        <f t="shared" si="10"/>
        <v>6417.003959734825</v>
      </c>
      <c r="H105" s="57">
        <f t="shared" si="10"/>
        <v>15175.901439611167</v>
      </c>
      <c r="I105" s="55">
        <f t="shared" si="15"/>
        <v>829.69826470543217</v>
      </c>
      <c r="J105" s="56">
        <f t="shared" si="11"/>
        <v>2464.1162655786757</v>
      </c>
      <c r="K105" s="57">
        <f t="shared" si="11"/>
        <v>6409.4198010943401</v>
      </c>
    </row>
    <row r="106" spans="1:11" x14ac:dyDescent="0.15">
      <c r="A106" s="1">
        <f t="shared" si="12"/>
        <v>102</v>
      </c>
      <c r="B106" s="20">
        <v>0.36873730000000005</v>
      </c>
      <c r="C106" s="5">
        <f t="shared" si="16"/>
        <v>1721.9906625035753</v>
      </c>
      <c r="D106" s="51">
        <f t="shared" si="13"/>
        <v>634.96218751677975</v>
      </c>
      <c r="E106" s="54">
        <f t="shared" si="9"/>
        <v>0.95029078262549715</v>
      </c>
      <c r="F106" s="55">
        <f t="shared" si="14"/>
        <v>1636.391854344321</v>
      </c>
      <c r="G106" s="56">
        <f t="shared" si="10"/>
        <v>3949.6807956255475</v>
      </c>
      <c r="H106" s="57">
        <f t="shared" si="10"/>
        <v>8758.8974798763411</v>
      </c>
      <c r="I106" s="55">
        <f t="shared" si="15"/>
        <v>603.09716553015323</v>
      </c>
      <c r="J106" s="56">
        <f t="shared" si="11"/>
        <v>1634.4180008732437</v>
      </c>
      <c r="K106" s="57">
        <f t="shared" si="11"/>
        <v>3945.3035355156644</v>
      </c>
    </row>
    <row r="107" spans="1:11" x14ac:dyDescent="0.15">
      <c r="A107" s="1">
        <f t="shared" si="12"/>
        <v>103</v>
      </c>
      <c r="B107" s="20">
        <v>0.40348220000000001</v>
      </c>
      <c r="C107" s="5">
        <f t="shared" si="16"/>
        <v>1087.0284749867956</v>
      </c>
      <c r="D107" s="51">
        <f t="shared" si="13"/>
        <v>438.59664055031726</v>
      </c>
      <c r="E107" s="54">
        <f t="shared" si="9"/>
        <v>0.94981587468815309</v>
      </c>
      <c r="F107" s="55">
        <f t="shared" si="14"/>
        <v>1032.4769017805124</v>
      </c>
      <c r="G107" s="56">
        <f t="shared" si="10"/>
        <v>2313.2889412812265</v>
      </c>
      <c r="H107" s="57">
        <f t="shared" si="10"/>
        <v>4809.2166842507941</v>
      </c>
      <c r="I107" s="55">
        <f t="shared" si="15"/>
        <v>416.37786284816104</v>
      </c>
      <c r="J107" s="56">
        <f t="shared" si="11"/>
        <v>1031.3208353430905</v>
      </c>
      <c r="K107" s="57">
        <f t="shared" si="11"/>
        <v>2310.8855346424207</v>
      </c>
    </row>
    <row r="108" spans="1:11" x14ac:dyDescent="0.15">
      <c r="A108" s="1">
        <f t="shared" si="12"/>
        <v>104</v>
      </c>
      <c r="B108" s="20">
        <v>0.44073659999999992</v>
      </c>
      <c r="C108" s="5">
        <f t="shared" si="16"/>
        <v>648.43183443647831</v>
      </c>
      <c r="D108" s="51">
        <f t="shared" si="13"/>
        <v>285.78764204129629</v>
      </c>
      <c r="E108" s="54">
        <f t="shared" si="9"/>
        <v>0.94934120408611011</v>
      </c>
      <c r="F108" s="55">
        <f t="shared" si="14"/>
        <v>615.58305847169152</v>
      </c>
      <c r="G108" s="56">
        <f t="shared" si="10"/>
        <v>1280.812039500714</v>
      </c>
      <c r="H108" s="57">
        <f t="shared" si="10"/>
        <v>2495.9277429695671</v>
      </c>
      <c r="I108" s="55">
        <f t="shared" si="15"/>
        <v>271.17439700990946</v>
      </c>
      <c r="J108" s="56">
        <f t="shared" si="11"/>
        <v>614.94297249492956</v>
      </c>
      <c r="K108" s="57">
        <f t="shared" si="11"/>
        <v>1279.56469929933</v>
      </c>
    </row>
    <row r="109" spans="1:11" x14ac:dyDescent="0.15">
      <c r="A109" s="1">
        <f t="shared" si="12"/>
        <v>105</v>
      </c>
      <c r="B109" s="20">
        <v>0.48055059999999994</v>
      </c>
      <c r="C109" s="5">
        <f t="shared" si="16"/>
        <v>362.64419239518202</v>
      </c>
      <c r="D109" s="51">
        <f t="shared" si="13"/>
        <v>174.26888424202014</v>
      </c>
      <c r="E109" s="54">
        <f t="shared" si="9"/>
        <v>0.94886677070075964</v>
      </c>
      <c r="F109" s="55">
        <f t="shared" si="14"/>
        <v>344.10102375140133</v>
      </c>
      <c r="G109" s="56">
        <f t="shared" si="10"/>
        <v>665.22898102902241</v>
      </c>
      <c r="H109" s="57">
        <f t="shared" si="10"/>
        <v>1215.1157034688531</v>
      </c>
      <c r="I109" s="55">
        <f t="shared" si="15"/>
        <v>165.27531576646692</v>
      </c>
      <c r="J109" s="56">
        <f t="shared" si="11"/>
        <v>343.76857548502005</v>
      </c>
      <c r="K109" s="57">
        <f t="shared" si="11"/>
        <v>664.6217268044004</v>
      </c>
    </row>
    <row r="110" spans="1:11" x14ac:dyDescent="0.15">
      <c r="A110" s="1">
        <f t="shared" si="12"/>
        <v>106</v>
      </c>
      <c r="B110" s="20">
        <v>0.52296640000000005</v>
      </c>
      <c r="C110" s="5">
        <f t="shared" si="16"/>
        <v>188.37530815316188</v>
      </c>
      <c r="D110" s="51">
        <f t="shared" si="13"/>
        <v>98.513956753749724</v>
      </c>
      <c r="E110" s="54">
        <f t="shared" si="9"/>
        <v>0.94839257441355296</v>
      </c>
      <c r="F110" s="55">
        <f t="shared" si="14"/>
        <v>178.65374345532354</v>
      </c>
      <c r="G110" s="56">
        <f t="shared" si="10"/>
        <v>321.12795727762102</v>
      </c>
      <c r="H110" s="57">
        <f t="shared" si="10"/>
        <v>549.88672243983081</v>
      </c>
      <c r="I110" s="55">
        <f t="shared" si="15"/>
        <v>93.383213454626812</v>
      </c>
      <c r="J110" s="56">
        <f t="shared" si="11"/>
        <v>178.49325971855313</v>
      </c>
      <c r="K110" s="57">
        <f t="shared" si="11"/>
        <v>320.85315131938029</v>
      </c>
    </row>
    <row r="111" spans="1:11" x14ac:dyDescent="0.15">
      <c r="A111" s="1">
        <f t="shared" si="12"/>
        <v>107</v>
      </c>
      <c r="B111" s="20">
        <v>0.56801809999999997</v>
      </c>
      <c r="C111" s="5">
        <f t="shared" si="16"/>
        <v>89.861351399412158</v>
      </c>
      <c r="D111" s="51">
        <f t="shared" si="13"/>
        <v>51.042874085326432</v>
      </c>
      <c r="E111" s="54">
        <f t="shared" si="9"/>
        <v>0.94791861510599995</v>
      </c>
      <c r="F111" s="55">
        <f t="shared" si="14"/>
        <v>85.181247770084383</v>
      </c>
      <c r="G111" s="56">
        <f t="shared" si="10"/>
        <v>142.47421382229751</v>
      </c>
      <c r="H111" s="57">
        <f t="shared" si="10"/>
        <v>228.75876516220981</v>
      </c>
      <c r="I111" s="55">
        <f t="shared" si="15"/>
        <v>48.360310358813145</v>
      </c>
      <c r="J111" s="56">
        <f t="shared" si="11"/>
        <v>85.110046263926307</v>
      </c>
      <c r="K111" s="57">
        <f t="shared" si="11"/>
        <v>142.35989160082715</v>
      </c>
    </row>
    <row r="112" spans="1:11" x14ac:dyDescent="0.15">
      <c r="A112" s="1">
        <f t="shared" si="12"/>
        <v>108</v>
      </c>
      <c r="B112" s="20">
        <v>0.61573270000000013</v>
      </c>
      <c r="C112" s="5">
        <f t="shared" si="16"/>
        <v>38.818477314085726</v>
      </c>
      <c r="D112" s="51">
        <f t="shared" si="13"/>
        <v>23.90180584649076</v>
      </c>
      <c r="E112" s="54">
        <f t="shared" si="9"/>
        <v>0.94744489265966991</v>
      </c>
      <c r="F112" s="55">
        <f t="shared" si="14"/>
        <v>36.778368072055784</v>
      </c>
      <c r="G112" s="56">
        <f t="shared" si="10"/>
        <v>57.292966052213124</v>
      </c>
      <c r="H112" s="57">
        <f t="shared" si="10"/>
        <v>86.284551339912298</v>
      </c>
      <c r="I112" s="55">
        <f t="shared" si="15"/>
        <v>22.634326711245091</v>
      </c>
      <c r="J112" s="56">
        <f t="shared" si="11"/>
        <v>36.749735905113155</v>
      </c>
      <c r="K112" s="57">
        <f t="shared" si="11"/>
        <v>57.249845336900833</v>
      </c>
    </row>
    <row r="113" spans="1:12" x14ac:dyDescent="0.15">
      <c r="A113" s="1">
        <f t="shared" si="12"/>
        <v>109</v>
      </c>
      <c r="B113" s="20">
        <v>0.66613100000000003</v>
      </c>
      <c r="C113" s="5">
        <f t="shared" si="16"/>
        <v>14.916671467594968</v>
      </c>
      <c r="D113" s="51">
        <f t="shared" si="13"/>
        <v>9.9364572813805054</v>
      </c>
      <c r="E113" s="54">
        <f t="shared" si="9"/>
        <v>0.94697140695619197</v>
      </c>
      <c r="F113" s="55">
        <f t="shared" si="14"/>
        <v>14.125661366771691</v>
      </c>
      <c r="G113" s="56">
        <f t="shared" si="10"/>
        <v>20.51459798015734</v>
      </c>
      <c r="H113" s="57">
        <f t="shared" si="10"/>
        <v>28.99158528769917</v>
      </c>
      <c r="I113" s="55">
        <f t="shared" si="15"/>
        <v>9.4048385126526721</v>
      </c>
      <c r="J113" s="56">
        <f t="shared" si="11"/>
        <v>14.115409193868068</v>
      </c>
      <c r="K113" s="57">
        <f t="shared" si="11"/>
        <v>20.500109431787678</v>
      </c>
    </row>
    <row r="114" spans="1:12" x14ac:dyDescent="0.15">
      <c r="A114" s="1">
        <f t="shared" si="12"/>
        <v>110</v>
      </c>
      <c r="B114" s="20">
        <v>0.71922819999999998</v>
      </c>
      <c r="C114" s="5">
        <f t="shared" si="16"/>
        <v>4.9802141862144635</v>
      </c>
      <c r="D114" s="51">
        <f t="shared" si="13"/>
        <v>3.5819104847654932</v>
      </c>
      <c r="E114" s="54">
        <f t="shared" si="9"/>
        <v>0.94649815787725367</v>
      </c>
      <c r="F114" s="55">
        <f t="shared" si="14"/>
        <v>4.7137635530861557</v>
      </c>
      <c r="G114" s="56">
        <f t="shared" si="10"/>
        <v>6.3889366133856491</v>
      </c>
      <c r="H114" s="57">
        <f t="shared" si="10"/>
        <v>8.4769873075418296</v>
      </c>
      <c r="I114" s="55">
        <f t="shared" si="15"/>
        <v>3.3885773868183495</v>
      </c>
      <c r="J114" s="56">
        <f t="shared" si="11"/>
        <v>4.7105706812153967</v>
      </c>
      <c r="K114" s="57">
        <f t="shared" si="11"/>
        <v>6.3847002379196098</v>
      </c>
    </row>
    <row r="115" spans="1:12" x14ac:dyDescent="0.15">
      <c r="A115" s="1">
        <f t="shared" si="12"/>
        <v>111</v>
      </c>
      <c r="B115" s="20">
        <v>0.77503480000000002</v>
      </c>
      <c r="C115" s="5">
        <f t="shared" si="16"/>
        <v>1.3983037014489701</v>
      </c>
      <c r="D115" s="51">
        <f t="shared" si="13"/>
        <v>1.0837340295917623</v>
      </c>
      <c r="E115" s="54">
        <f t="shared" si="9"/>
        <v>0.94602514530460102</v>
      </c>
      <c r="F115" s="55">
        <f t="shared" si="14"/>
        <v>1.3228304623432234</v>
      </c>
      <c r="G115" s="56">
        <f t="shared" si="10"/>
        <v>1.675173060299493</v>
      </c>
      <c r="H115" s="57">
        <f t="shared" si="10"/>
        <v>2.0880506941561796</v>
      </c>
      <c r="I115" s="55">
        <f t="shared" si="15"/>
        <v>1.0247272791764996</v>
      </c>
      <c r="J115" s="56">
        <f t="shared" si="11"/>
        <v>1.3219932943970469</v>
      </c>
      <c r="K115" s="57">
        <f t="shared" si="11"/>
        <v>1.6741295567042127</v>
      </c>
    </row>
    <row r="116" spans="1:12" x14ac:dyDescent="0.15">
      <c r="A116" s="1">
        <f t="shared" si="12"/>
        <v>112</v>
      </c>
      <c r="B116" s="20">
        <v>0.83355760000000012</v>
      </c>
      <c r="C116" s="5">
        <f t="shared" si="16"/>
        <v>0.3145696718572078</v>
      </c>
      <c r="D116" s="51">
        <f t="shared" si="13"/>
        <v>0.26221194070608173</v>
      </c>
      <c r="E116" s="54">
        <f t="shared" si="9"/>
        <v>0.94555236912004115</v>
      </c>
      <c r="F116" s="55">
        <f t="shared" si="14"/>
        <v>0.29744209847789677</v>
      </c>
      <c r="G116" s="56">
        <f t="shared" si="10"/>
        <v>0.35234259795626954</v>
      </c>
      <c r="H116" s="57">
        <f t="shared" si="10"/>
        <v>0.4128776338566868</v>
      </c>
      <c r="I116" s="55">
        <f t="shared" si="15"/>
        <v>0.24781121613813026</v>
      </c>
      <c r="J116" s="56">
        <f t="shared" si="11"/>
        <v>0.2972660152205473</v>
      </c>
      <c r="K116" s="57">
        <f t="shared" si="11"/>
        <v>0.35213626230716577</v>
      </c>
    </row>
    <row r="117" spans="1:12" x14ac:dyDescent="0.15">
      <c r="A117" s="1">
        <f t="shared" si="12"/>
        <v>113</v>
      </c>
      <c r="B117" s="20">
        <v>0.89480040000000005</v>
      </c>
      <c r="C117" s="5">
        <f t="shared" si="16"/>
        <v>5.2357731151126088E-2</v>
      </c>
      <c r="D117" s="51">
        <f t="shared" si="13"/>
        <v>4.6849718777120089E-2</v>
      </c>
      <c r="E117" s="54">
        <f t="shared" si="9"/>
        <v>0.94507982920543843</v>
      </c>
      <c r="F117" s="55">
        <f t="shared" si="14"/>
        <v>4.9482235613890507E-2</v>
      </c>
      <c r="G117" s="56">
        <f t="shared" si="10"/>
        <v>5.4900499478372791E-2</v>
      </c>
      <c r="H117" s="57">
        <f t="shared" si="10"/>
        <v>6.0535035900417256E-2</v>
      </c>
      <c r="I117" s="55">
        <f t="shared" si="15"/>
        <v>4.4254596921742613E-2</v>
      </c>
      <c r="J117" s="56">
        <f t="shared" si="11"/>
        <v>4.9454799082417067E-2</v>
      </c>
      <c r="K117" s="57">
        <f t="shared" si="11"/>
        <v>5.4870247086618466E-2</v>
      </c>
    </row>
    <row r="118" spans="1:12" x14ac:dyDescent="0.15">
      <c r="A118" s="1">
        <f t="shared" si="12"/>
        <v>114</v>
      </c>
      <c r="B118" s="20">
        <v>0.95876490000000014</v>
      </c>
      <c r="C118" s="5">
        <f t="shared" si="16"/>
        <v>5.5080123740060011E-3</v>
      </c>
      <c r="D118" s="51">
        <f t="shared" si="13"/>
        <v>5.2808889329626274E-3</v>
      </c>
      <c r="E118" s="54">
        <f t="shared" si="9"/>
        <v>0.94460752544271731</v>
      </c>
      <c r="F118" s="55">
        <f t="shared" si="14"/>
        <v>5.2029099387176751E-3</v>
      </c>
      <c r="G118" s="56">
        <f t="shared" si="10"/>
        <v>5.4182638644822813E-3</v>
      </c>
      <c r="H118" s="57">
        <f t="shared" si="10"/>
        <v>5.6345364220444609E-3</v>
      </c>
      <c r="I118" s="55">
        <f t="shared" si="15"/>
        <v>4.9858744898587286E-3</v>
      </c>
      <c r="J118" s="56">
        <f t="shared" si="11"/>
        <v>5.2002021606744548E-3</v>
      </c>
      <c r="K118" s="57">
        <f t="shared" si="11"/>
        <v>5.4154480042013986E-3</v>
      </c>
    </row>
    <row r="119" spans="1:12" x14ac:dyDescent="0.15">
      <c r="A119" s="1">
        <f t="shared" si="12"/>
        <v>115</v>
      </c>
      <c r="B119" s="20">
        <v>0.99571390000000004</v>
      </c>
      <c r="C119" s="5">
        <f t="shared" si="16"/>
        <v>2.2712344104337408E-4</v>
      </c>
      <c r="D119" s="51">
        <f t="shared" si="13"/>
        <v>2.2614996726271809E-4</v>
      </c>
      <c r="E119" s="54">
        <f t="shared" si="9"/>
        <v>0.94413545771386009</v>
      </c>
      <c r="F119" s="55">
        <f t="shared" si="14"/>
        <v>2.1443529396703292E-4</v>
      </c>
      <c r="G119" s="56">
        <f t="shared" si="10"/>
        <v>2.1535392576460622E-4</v>
      </c>
      <c r="H119" s="57">
        <f t="shared" si="10"/>
        <v>2.1627255756217952E-4</v>
      </c>
      <c r="I119" s="55">
        <f t="shared" si="15"/>
        <v>2.1340949810450861E-4</v>
      </c>
      <c r="J119" s="56">
        <f t="shared" si="11"/>
        <v>2.1432767081572631E-4</v>
      </c>
      <c r="K119" s="57">
        <f t="shared" si="11"/>
        <v>2.1524584352694402E-4</v>
      </c>
    </row>
    <row r="120" spans="1:12" x14ac:dyDescent="0.15">
      <c r="A120" s="7">
        <f t="shared" si="12"/>
        <v>116</v>
      </c>
      <c r="B120" s="21">
        <v>1</v>
      </c>
      <c r="C120" s="8">
        <f t="shared" si="16"/>
        <v>9.7347378065599636E-7</v>
      </c>
      <c r="D120" s="52">
        <f t="shared" si="13"/>
        <v>9.7347378065599636E-7</v>
      </c>
      <c r="E120" s="58">
        <f t="shared" si="9"/>
        <v>0.9436636259009098</v>
      </c>
      <c r="F120" s="59">
        <f t="shared" si="14"/>
        <v>9.1863179757330442E-7</v>
      </c>
      <c r="G120" s="60">
        <f t="shared" si="10"/>
        <v>9.1863179757330442E-7</v>
      </c>
      <c r="H120" s="61">
        <f t="shared" si="10"/>
        <v>9.1863179757330442E-7</v>
      </c>
      <c r="I120" s="59">
        <f t="shared" si="15"/>
        <v>9.1817271121769579E-7</v>
      </c>
      <c r="J120" s="60">
        <f t="shared" si="11"/>
        <v>9.1817271121769579E-7</v>
      </c>
      <c r="K120" s="61">
        <f t="shared" si="11"/>
        <v>9.1817271121769579E-7</v>
      </c>
    </row>
    <row r="121" spans="1:12" x14ac:dyDescent="0.15">
      <c r="A121" s="1">
        <f t="shared" si="12"/>
        <v>117</v>
      </c>
      <c r="B121" s="20">
        <v>1</v>
      </c>
      <c r="C121" s="5">
        <f t="shared" si="16"/>
        <v>0</v>
      </c>
      <c r="D121" s="51">
        <f t="shared" si="13"/>
        <v>0</v>
      </c>
      <c r="E121" s="54">
        <f t="shared" si="9"/>
        <v>0.94319202988596695</v>
      </c>
      <c r="F121" s="55">
        <f t="shared" si="14"/>
        <v>0</v>
      </c>
      <c r="G121" s="56">
        <f t="shared" si="10"/>
        <v>0</v>
      </c>
      <c r="H121" s="57">
        <f t="shared" si="10"/>
        <v>0</v>
      </c>
      <c r="I121" s="55">
        <f t="shared" si="15"/>
        <v>0</v>
      </c>
      <c r="J121" s="56">
        <f t="shared" si="11"/>
        <v>0</v>
      </c>
      <c r="K121" s="57">
        <f t="shared" si="11"/>
        <v>0</v>
      </c>
    </row>
    <row r="122" spans="1:12" x14ac:dyDescent="0.15">
      <c r="A122" s="1">
        <f t="shared" si="12"/>
        <v>118</v>
      </c>
      <c r="B122" s="20">
        <v>1</v>
      </c>
      <c r="C122" s="5">
        <f t="shared" si="16"/>
        <v>0</v>
      </c>
      <c r="D122" s="51">
        <f t="shared" si="13"/>
        <v>0</v>
      </c>
      <c r="E122" s="54">
        <f t="shared" si="9"/>
        <v>0.94272066955119149</v>
      </c>
      <c r="F122" s="55">
        <f t="shared" si="14"/>
        <v>0</v>
      </c>
      <c r="G122" s="56">
        <f t="shared" si="10"/>
        <v>0</v>
      </c>
      <c r="H122" s="57">
        <f t="shared" si="10"/>
        <v>0</v>
      </c>
      <c r="I122" s="55">
        <f t="shared" si="15"/>
        <v>0</v>
      </c>
      <c r="J122" s="56">
        <f t="shared" si="11"/>
        <v>0</v>
      </c>
      <c r="K122" s="57">
        <f t="shared" si="11"/>
        <v>0</v>
      </c>
    </row>
    <row r="123" spans="1:12" x14ac:dyDescent="0.15">
      <c r="A123" s="1">
        <f t="shared" si="12"/>
        <v>119</v>
      </c>
      <c r="B123" s="20">
        <v>1</v>
      </c>
      <c r="C123" s="5">
        <f t="shared" si="16"/>
        <v>0</v>
      </c>
      <c r="D123" s="51">
        <f t="shared" si="13"/>
        <v>0</v>
      </c>
      <c r="E123" s="54">
        <f t="shared" si="9"/>
        <v>0.94224954477880185</v>
      </c>
      <c r="F123" s="55">
        <f t="shared" si="14"/>
        <v>0</v>
      </c>
      <c r="G123" s="56">
        <f t="shared" si="10"/>
        <v>0</v>
      </c>
      <c r="H123" s="57">
        <f t="shared" si="10"/>
        <v>0</v>
      </c>
      <c r="I123" s="55">
        <f t="shared" si="15"/>
        <v>0</v>
      </c>
      <c r="J123" s="56">
        <f t="shared" si="11"/>
        <v>0</v>
      </c>
      <c r="K123" s="57">
        <f t="shared" si="11"/>
        <v>0</v>
      </c>
    </row>
    <row r="124" spans="1:12" x14ac:dyDescent="0.15">
      <c r="A124" s="1">
        <f t="shared" si="12"/>
        <v>120</v>
      </c>
      <c r="B124" s="20">
        <v>1</v>
      </c>
      <c r="C124" s="5">
        <f t="shared" si="16"/>
        <v>0</v>
      </c>
      <c r="D124" s="51">
        <f t="shared" si="13"/>
        <v>0</v>
      </c>
      <c r="E124" s="54">
        <f t="shared" si="9"/>
        <v>0.94177865545107642</v>
      </c>
      <c r="F124" s="55">
        <f t="shared" si="14"/>
        <v>0</v>
      </c>
      <c r="G124" s="56">
        <f t="shared" si="10"/>
        <v>0</v>
      </c>
      <c r="H124" s="57">
        <f t="shared" si="10"/>
        <v>0</v>
      </c>
      <c r="I124" s="55">
        <f t="shared" si="15"/>
        <v>0</v>
      </c>
      <c r="J124" s="56">
        <f t="shared" si="11"/>
        <v>0</v>
      </c>
      <c r="K124" s="57">
        <f t="shared" si="11"/>
        <v>0</v>
      </c>
    </row>
    <row r="125" spans="1:12" x14ac:dyDescent="0.15">
      <c r="A125" s="1">
        <f t="shared" si="12"/>
        <v>121</v>
      </c>
      <c r="B125" s="20">
        <v>1</v>
      </c>
      <c r="C125" s="5">
        <f t="shared" si="16"/>
        <v>0</v>
      </c>
      <c r="D125" s="51">
        <f t="shared" si="13"/>
        <v>0</v>
      </c>
      <c r="E125" s="54">
        <f t="shared" si="9"/>
        <v>0.94130800145035143</v>
      </c>
      <c r="F125" s="55">
        <f t="shared" si="14"/>
        <v>0</v>
      </c>
      <c r="G125" s="56">
        <f t="shared" si="10"/>
        <v>0</v>
      </c>
      <c r="H125" s="57">
        <f t="shared" si="10"/>
        <v>0</v>
      </c>
      <c r="I125" s="55">
        <f t="shared" si="15"/>
        <v>0</v>
      </c>
      <c r="J125" s="56">
        <f t="shared" si="11"/>
        <v>0</v>
      </c>
      <c r="K125" s="57">
        <f t="shared" si="11"/>
        <v>0</v>
      </c>
    </row>
    <row r="126" spans="1:12" x14ac:dyDescent="0.15">
      <c r="A126" s="1">
        <f t="shared" si="12"/>
        <v>122</v>
      </c>
      <c r="B126" s="20">
        <v>1</v>
      </c>
      <c r="C126" s="5">
        <f t="shared" si="16"/>
        <v>0</v>
      </c>
      <c r="D126" s="51">
        <f t="shared" si="13"/>
        <v>0</v>
      </c>
      <c r="E126" s="54">
        <f t="shared" si="9"/>
        <v>0.94083758265902162</v>
      </c>
      <c r="F126" s="55">
        <f t="shared" si="14"/>
        <v>0</v>
      </c>
      <c r="G126" s="56">
        <f t="shared" si="10"/>
        <v>0</v>
      </c>
      <c r="H126" s="57">
        <f t="shared" si="10"/>
        <v>0</v>
      </c>
      <c r="I126" s="55">
        <f t="shared" si="15"/>
        <v>0</v>
      </c>
      <c r="J126" s="56">
        <f t="shared" si="11"/>
        <v>0</v>
      </c>
      <c r="K126" s="57">
        <f t="shared" si="11"/>
        <v>0</v>
      </c>
    </row>
    <row r="127" spans="1:12" x14ac:dyDescent="0.15">
      <c r="A127" s="1">
        <f t="shared" si="12"/>
        <v>123</v>
      </c>
      <c r="B127" s="20">
        <v>1</v>
      </c>
      <c r="C127" s="5">
        <f t="shared" si="16"/>
        <v>0</v>
      </c>
      <c r="D127" s="51">
        <f t="shared" si="13"/>
        <v>0</v>
      </c>
      <c r="E127" s="54">
        <f t="shared" si="9"/>
        <v>0.94036739895954191</v>
      </c>
      <c r="F127" s="55">
        <f t="shared" si="14"/>
        <v>0</v>
      </c>
      <c r="G127" s="56">
        <f t="shared" si="10"/>
        <v>0</v>
      </c>
      <c r="H127" s="57">
        <f t="shared" si="10"/>
        <v>0</v>
      </c>
      <c r="I127" s="55">
        <f t="shared" si="15"/>
        <v>0</v>
      </c>
      <c r="J127" s="56">
        <f t="shared" si="11"/>
        <v>0</v>
      </c>
      <c r="K127" s="57">
        <f t="shared" si="11"/>
        <v>0</v>
      </c>
      <c r="L127" s="9"/>
    </row>
    <row r="128" spans="1:12" x14ac:dyDescent="0.15">
      <c r="A128" s="1">
        <f t="shared" si="12"/>
        <v>124</v>
      </c>
      <c r="B128" s="20">
        <v>1</v>
      </c>
      <c r="C128" s="5">
        <f t="shared" si="16"/>
        <v>0</v>
      </c>
      <c r="D128" s="51">
        <f t="shared" si="13"/>
        <v>0</v>
      </c>
      <c r="E128" s="54">
        <f t="shared" si="9"/>
        <v>0.93989745023442484</v>
      </c>
      <c r="F128" s="55">
        <f t="shared" si="14"/>
        <v>0</v>
      </c>
      <c r="G128" s="56">
        <f t="shared" si="10"/>
        <v>0</v>
      </c>
      <c r="H128" s="57">
        <f t="shared" si="10"/>
        <v>0</v>
      </c>
      <c r="I128" s="55">
        <f t="shared" si="15"/>
        <v>0</v>
      </c>
      <c r="J128" s="56">
        <f t="shared" si="11"/>
        <v>0</v>
      </c>
      <c r="K128" s="57">
        <f t="shared" si="11"/>
        <v>0</v>
      </c>
      <c r="L128" s="9"/>
    </row>
    <row r="129" spans="1:12" x14ac:dyDescent="0.15">
      <c r="A129" s="1">
        <f t="shared" si="12"/>
        <v>125</v>
      </c>
      <c r="B129" s="20">
        <v>1</v>
      </c>
      <c r="C129" s="5">
        <f t="shared" si="16"/>
        <v>0</v>
      </c>
      <c r="D129" s="51">
        <f t="shared" si="13"/>
        <v>0</v>
      </c>
      <c r="E129" s="54">
        <f t="shared" si="9"/>
        <v>0.93942773636624166</v>
      </c>
      <c r="F129" s="55">
        <f t="shared" si="14"/>
        <v>0</v>
      </c>
      <c r="G129" s="56">
        <f t="shared" si="10"/>
        <v>0</v>
      </c>
      <c r="H129" s="57">
        <f t="shared" si="10"/>
        <v>0</v>
      </c>
      <c r="I129" s="55">
        <f t="shared" si="15"/>
        <v>0</v>
      </c>
      <c r="J129" s="56">
        <f t="shared" si="11"/>
        <v>0</v>
      </c>
      <c r="K129" s="57">
        <f t="shared" si="11"/>
        <v>0</v>
      </c>
      <c r="L129" s="9"/>
    </row>
    <row r="130" spans="1:12" x14ac:dyDescent="0.15">
      <c r="A130" s="1">
        <f t="shared" si="12"/>
        <v>126</v>
      </c>
      <c r="B130" s="20">
        <v>1</v>
      </c>
      <c r="C130" s="5">
        <f t="shared" si="16"/>
        <v>0</v>
      </c>
      <c r="D130" s="51">
        <f t="shared" si="13"/>
        <v>0</v>
      </c>
      <c r="E130" s="54">
        <f t="shared" si="9"/>
        <v>0.93895825723762316</v>
      </c>
      <c r="F130" s="55">
        <f t="shared" si="14"/>
        <v>0</v>
      </c>
      <c r="G130" s="56">
        <f>G131+F130</f>
        <v>0</v>
      </c>
      <c r="H130" s="57">
        <f>H131+G130</f>
        <v>0</v>
      </c>
      <c r="I130" s="55">
        <f t="shared" si="15"/>
        <v>0</v>
      </c>
      <c r="J130" s="56">
        <f>J131+I130</f>
        <v>0</v>
      </c>
      <c r="K130" s="57">
        <f>K131+J130</f>
        <v>0</v>
      </c>
      <c r="L130" s="9"/>
    </row>
    <row r="131" spans="1:12" ht="14" thickBot="1" x14ac:dyDescent="0.2">
      <c r="A131" s="2">
        <f t="shared" si="12"/>
        <v>127</v>
      </c>
      <c r="B131" s="22">
        <v>1</v>
      </c>
      <c r="C131" s="6">
        <f t="shared" si="16"/>
        <v>0</v>
      </c>
      <c r="D131" s="53">
        <v>0</v>
      </c>
      <c r="E131" s="62">
        <f t="shared" si="9"/>
        <v>0.93848901273125729</v>
      </c>
      <c r="F131" s="63">
        <f t="shared" si="14"/>
        <v>0</v>
      </c>
      <c r="G131" s="64">
        <f>F131</f>
        <v>0</v>
      </c>
      <c r="H131" s="65">
        <f>G131</f>
        <v>0</v>
      </c>
      <c r="I131" s="66">
        <v>0</v>
      </c>
      <c r="J131" s="64">
        <f>I131</f>
        <v>0</v>
      </c>
      <c r="K131" s="65">
        <f>J131</f>
        <v>0</v>
      </c>
    </row>
    <row r="132" spans="1:12" x14ac:dyDescent="0.15">
      <c r="C132" s="11"/>
      <c r="D132" s="11" t="b">
        <f>(D120=C120)</f>
        <v>1</v>
      </c>
      <c r="E132" s="10"/>
      <c r="H132" s="46"/>
      <c r="I132" s="47" t="b">
        <f>(I120=F120/(1+D1))</f>
        <v>1</v>
      </c>
    </row>
    <row r="133" spans="1:12" x14ac:dyDescent="0.15">
      <c r="C133" s="11" t="b">
        <f>(SUM(C121:C131)=0)</f>
        <v>1</v>
      </c>
      <c r="D133" s="11" t="b">
        <f>(SUM(D121:D131)=0)</f>
        <v>1</v>
      </c>
      <c r="F133" s="48" t="b">
        <f>AND(F120=G120,G120=H120)</f>
        <v>1</v>
      </c>
      <c r="H133" s="41"/>
      <c r="I133" s="49" t="b">
        <f>AND(I120=J120,J120=K120)</f>
        <v>1</v>
      </c>
    </row>
    <row r="134" spans="1:12" x14ac:dyDescent="0.15">
      <c r="F134" s="48" t="b">
        <f>(SUM(F121:H131)=0)</f>
        <v>1</v>
      </c>
      <c r="H134" s="41"/>
      <c r="I134" s="49" t="b">
        <f>(SUM(I121:K131)=0)</f>
        <v>1</v>
      </c>
    </row>
  </sheetData>
  <pageMargins left="0.78740157480314965" right="0.78740157480314965" top="0.98425196850393704" bottom="0.98425196850393704" header="0.51181102362204722" footer="0.51181102362204722"/>
  <pageSetup scale="75" fitToHeight="2" orientation="portrait" r:id="rId1"/>
  <headerFooter alignWithMargins="0">
    <oddFooter>&amp;L&amp;A&amp;C&amp;P von&amp;N</oddFooter>
  </headerFooter>
  <customProperties>
    <customPr name="_pios_id" r:id="rId2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>
    <pageSetUpPr fitToPage="1"/>
  </sheetPr>
  <dimension ref="A1:L134"/>
  <sheetViews>
    <sheetView zoomScaleNormal="100" zoomScaleSheetLayoutView="100" workbookViewId="0">
      <pane ySplit="3" topLeftCell="A4" activePane="bottomLeft" state="frozen"/>
      <selection activeCell="A4" sqref="A4"/>
      <selection pane="bottomLeft" activeCell="A4" sqref="A4"/>
    </sheetView>
  </sheetViews>
  <sheetFormatPr baseColWidth="10" defaultColWidth="9.1640625" defaultRowHeight="13" x14ac:dyDescent="0.15"/>
  <cols>
    <col min="1" max="1" width="9.33203125" bestFit="1" customWidth="1"/>
    <col min="2" max="2" width="12" bestFit="1" customWidth="1"/>
    <col min="3" max="3" width="11.5" bestFit="1" customWidth="1"/>
    <col min="4" max="4" width="9.5" bestFit="1" customWidth="1"/>
    <col min="5" max="5" width="6.1640625" bestFit="1" customWidth="1"/>
    <col min="6" max="6" width="11.5" style="42" bestFit="1" customWidth="1"/>
    <col min="7" max="7" width="13" style="42" bestFit="1" customWidth="1"/>
    <col min="8" max="8" width="15" style="42" bestFit="1" customWidth="1"/>
    <col min="9" max="9" width="9.5" style="42" bestFit="1" customWidth="1"/>
    <col min="10" max="10" width="10.5" style="42" bestFit="1" customWidth="1"/>
    <col min="11" max="11" width="13" style="42" bestFit="1" customWidth="1"/>
  </cols>
  <sheetData>
    <row r="1" spans="1:11" ht="16" x14ac:dyDescent="0.2">
      <c r="A1" s="34" t="s">
        <v>24</v>
      </c>
      <c r="C1" s="24" t="s">
        <v>6</v>
      </c>
      <c r="D1" s="39">
        <v>5.0000000000000001E-4</v>
      </c>
    </row>
    <row r="2" spans="1:11" ht="14" thickBot="1" x14ac:dyDescent="0.2">
      <c r="A2" s="50">
        <v>1</v>
      </c>
      <c r="B2" s="50">
        <f>A2+1</f>
        <v>2</v>
      </c>
      <c r="C2" s="50">
        <f t="shared" ref="C2:K2" si="0">B2+1</f>
        <v>3</v>
      </c>
      <c r="D2" s="50">
        <f t="shared" si="0"/>
        <v>4</v>
      </c>
      <c r="E2" s="50">
        <f t="shared" si="0"/>
        <v>5</v>
      </c>
      <c r="F2" s="50">
        <f t="shared" si="0"/>
        <v>6</v>
      </c>
      <c r="G2" s="50">
        <f t="shared" si="0"/>
        <v>7</v>
      </c>
      <c r="H2" s="50">
        <f t="shared" si="0"/>
        <v>8</v>
      </c>
      <c r="I2" s="50">
        <f t="shared" si="0"/>
        <v>9</v>
      </c>
      <c r="J2" s="50">
        <f t="shared" si="0"/>
        <v>10</v>
      </c>
      <c r="K2" s="50">
        <f t="shared" si="0"/>
        <v>11</v>
      </c>
    </row>
    <row r="3" spans="1:11" ht="17" thickBot="1" x14ac:dyDescent="0.25">
      <c r="A3" s="29" t="s">
        <v>2</v>
      </c>
      <c r="B3" s="30" t="s">
        <v>3</v>
      </c>
      <c r="C3" s="29" t="s">
        <v>4</v>
      </c>
      <c r="D3" s="31" t="s">
        <v>15</v>
      </c>
      <c r="E3" s="32" t="s">
        <v>16</v>
      </c>
      <c r="F3" s="43" t="s">
        <v>17</v>
      </c>
      <c r="G3" s="44" t="s">
        <v>18</v>
      </c>
      <c r="H3" s="45" t="s">
        <v>19</v>
      </c>
      <c r="I3" s="43" t="s">
        <v>20</v>
      </c>
      <c r="J3" s="44" t="s">
        <v>21</v>
      </c>
      <c r="K3" s="45" t="s">
        <v>22</v>
      </c>
    </row>
    <row r="4" spans="1:11" x14ac:dyDescent="0.15">
      <c r="A4" s="1">
        <v>0</v>
      </c>
      <c r="B4" s="20">
        <v>4.1719999999999709E-3</v>
      </c>
      <c r="C4" s="23">
        <v>100000</v>
      </c>
      <c r="D4" s="51">
        <f>C4-C5</f>
        <v>417.19999999999709</v>
      </c>
      <c r="E4" s="54">
        <f t="shared" ref="E4:E67" si="1">(1+$D$1)^(-$A4)</f>
        <v>1</v>
      </c>
      <c r="F4" s="55">
        <f>C4*E4</f>
        <v>100000</v>
      </c>
      <c r="G4" s="56">
        <f t="shared" ref="G4:H67" si="2">G5+F4</f>
        <v>8396408.044734668</v>
      </c>
      <c r="H4" s="57">
        <f t="shared" si="2"/>
        <v>371182117.27819067</v>
      </c>
      <c r="I4" s="55">
        <f>D4*E5</f>
        <v>416.99150424787314</v>
      </c>
      <c r="J4" s="56">
        <f t="shared" ref="J4:K67" si="3">J5+I4</f>
        <v>95803.894030617666</v>
      </c>
      <c r="K4" s="57">
        <f t="shared" si="3"/>
        <v>8210909.7352503296</v>
      </c>
    </row>
    <row r="5" spans="1:11" x14ac:dyDescent="0.15">
      <c r="A5" s="1">
        <f t="shared" ref="A5:A68" si="4">1+A4</f>
        <v>1</v>
      </c>
      <c r="B5" s="20">
        <v>3.5010000000002922E-4</v>
      </c>
      <c r="C5" s="5">
        <f>+C4*(1-$B4)</f>
        <v>99582.8</v>
      </c>
      <c r="D5" s="51">
        <f t="shared" ref="D5:D68" si="5">C5-C6</f>
        <v>34.863938280002913</v>
      </c>
      <c r="E5" s="54">
        <f t="shared" si="1"/>
        <v>0.99950024987506247</v>
      </c>
      <c r="F5" s="55">
        <f t="shared" ref="F5:F68" si="6">C5*E5</f>
        <v>99533.033483258376</v>
      </c>
      <c r="G5" s="56">
        <f t="shared" si="2"/>
        <v>8296408.0447346689</v>
      </c>
      <c r="H5" s="57">
        <f t="shared" si="2"/>
        <v>362785709.23345602</v>
      </c>
      <c r="I5" s="55">
        <f t="shared" ref="I5:I68" si="7">D5*E6</f>
        <v>34.82910047225554</v>
      </c>
      <c r="J5" s="56">
        <f t="shared" si="3"/>
        <v>95386.902526369799</v>
      </c>
      <c r="K5" s="57">
        <f t="shared" si="3"/>
        <v>8115105.841219712</v>
      </c>
    </row>
    <row r="6" spans="1:11" x14ac:dyDescent="0.15">
      <c r="A6" s="1">
        <f t="shared" si="4"/>
        <v>2</v>
      </c>
      <c r="B6" s="20">
        <v>3.1360000000001852E-4</v>
      </c>
      <c r="C6" s="5">
        <f t="shared" ref="C6:C69" si="8">+C5*(1-$B5)</f>
        <v>99547.93606172</v>
      </c>
      <c r="D6" s="51">
        <f t="shared" si="5"/>
        <v>31.218232748957234</v>
      </c>
      <c r="E6" s="54">
        <f t="shared" si="1"/>
        <v>0.99900074950031237</v>
      </c>
      <c r="F6" s="55">
        <f t="shared" si="6"/>
        <v>99448.462736867456</v>
      </c>
      <c r="G6" s="56">
        <f t="shared" si="2"/>
        <v>8196875.0112514105</v>
      </c>
      <c r="H6" s="57">
        <f t="shared" si="2"/>
        <v>354489301.18872136</v>
      </c>
      <c r="I6" s="55">
        <f t="shared" si="7"/>
        <v>31.171452188189377</v>
      </c>
      <c r="J6" s="56">
        <f t="shared" si="3"/>
        <v>95352.073425897543</v>
      </c>
      <c r="K6" s="57">
        <f t="shared" si="3"/>
        <v>8019718.9386933418</v>
      </c>
    </row>
    <row r="7" spans="1:11" x14ac:dyDescent="0.15">
      <c r="A7" s="1">
        <f t="shared" si="4"/>
        <v>3</v>
      </c>
      <c r="B7" s="20">
        <v>2.8600000000005249E-4</v>
      </c>
      <c r="C7" s="5">
        <f t="shared" si="8"/>
        <v>99516.717828971043</v>
      </c>
      <c r="D7" s="51">
        <f t="shared" si="5"/>
        <v>28.461781299090944</v>
      </c>
      <c r="E7" s="54">
        <f t="shared" si="1"/>
        <v>0.99850149875093686</v>
      </c>
      <c r="F7" s="55">
        <f t="shared" si="6"/>
        <v>99367.591903001667</v>
      </c>
      <c r="G7" s="56">
        <f t="shared" si="2"/>
        <v>8097426.5485145431</v>
      </c>
      <c r="H7" s="57">
        <f t="shared" si="2"/>
        <v>346292426.17746997</v>
      </c>
      <c r="I7" s="55">
        <f t="shared" si="7"/>
        <v>28.404928819853769</v>
      </c>
      <c r="J7" s="56">
        <f t="shared" si="3"/>
        <v>95320.901973709348</v>
      </c>
      <c r="K7" s="57">
        <f t="shared" si="3"/>
        <v>7924366.8652674444</v>
      </c>
    </row>
    <row r="8" spans="1:11" x14ac:dyDescent="0.15">
      <c r="A8" s="1">
        <f t="shared" si="4"/>
        <v>4</v>
      </c>
      <c r="B8" s="20">
        <v>2.6680000000008032E-4</v>
      </c>
      <c r="C8" s="5">
        <f t="shared" si="8"/>
        <v>99488.256047671952</v>
      </c>
      <c r="D8" s="51">
        <f t="shared" si="5"/>
        <v>26.543466713526868</v>
      </c>
      <c r="E8" s="54">
        <f t="shared" si="1"/>
        <v>0.99800249750218584</v>
      </c>
      <c r="F8" s="55">
        <f t="shared" si="6"/>
        <v>99289.528007713554</v>
      </c>
      <c r="G8" s="56">
        <f t="shared" si="2"/>
        <v>7998058.9566115411</v>
      </c>
      <c r="H8" s="57">
        <f t="shared" si="2"/>
        <v>338194999.62895542</v>
      </c>
      <c r="I8" s="55">
        <f t="shared" si="7"/>
        <v>26.477207468731589</v>
      </c>
      <c r="J8" s="56">
        <f t="shared" si="3"/>
        <v>95292.497044889489</v>
      </c>
      <c r="K8" s="57">
        <f t="shared" si="3"/>
        <v>7829045.9632937349</v>
      </c>
    </row>
    <row r="9" spans="1:11" x14ac:dyDescent="0.15">
      <c r="A9" s="1">
        <f t="shared" si="4"/>
        <v>5</v>
      </c>
      <c r="B9" s="20">
        <v>2.5519999999994321E-4</v>
      </c>
      <c r="C9" s="5">
        <f t="shared" si="8"/>
        <v>99461.712580958425</v>
      </c>
      <c r="D9" s="51">
        <f t="shared" si="5"/>
        <v>25.382629050654941</v>
      </c>
      <c r="E9" s="54">
        <f t="shared" si="1"/>
        <v>0.99750374562937127</v>
      </c>
      <c r="F9" s="55">
        <f t="shared" si="6"/>
        <v>99213.430846217991</v>
      </c>
      <c r="G9" s="56">
        <f t="shared" si="2"/>
        <v>7898769.428603828</v>
      </c>
      <c r="H9" s="57">
        <f t="shared" si="2"/>
        <v>330196940.67234391</v>
      </c>
      <c r="I9" s="55">
        <f t="shared" si="7"/>
        <v>25.306614244826786</v>
      </c>
      <c r="J9" s="56">
        <f t="shared" si="3"/>
        <v>95266.019837420754</v>
      </c>
      <c r="K9" s="57">
        <f t="shared" si="3"/>
        <v>7733753.4662488457</v>
      </c>
    </row>
    <row r="10" spans="1:11" x14ac:dyDescent="0.15">
      <c r="A10" s="1">
        <f t="shared" si="4"/>
        <v>6</v>
      </c>
      <c r="B10" s="20">
        <v>2.501999999999407E-4</v>
      </c>
      <c r="C10" s="5">
        <f t="shared" si="8"/>
        <v>99436.32995190777</v>
      </c>
      <c r="D10" s="51">
        <f t="shared" si="5"/>
        <v>24.878969753961428</v>
      </c>
      <c r="E10" s="54">
        <f t="shared" si="1"/>
        <v>0.99700524300786741</v>
      </c>
      <c r="F10" s="55">
        <f t="shared" si="6"/>
        <v>99138.542307512296</v>
      </c>
      <c r="G10" s="56">
        <f t="shared" si="2"/>
        <v>7799555.9977576099</v>
      </c>
      <c r="H10" s="57">
        <f t="shared" si="2"/>
        <v>322298171.24374008</v>
      </c>
      <c r="I10" s="55">
        <f t="shared" si="7"/>
        <v>24.792067251707838</v>
      </c>
      <c r="J10" s="56">
        <f t="shared" si="3"/>
        <v>95240.713223175931</v>
      </c>
      <c r="K10" s="57">
        <f t="shared" si="3"/>
        <v>7638487.4464114252</v>
      </c>
    </row>
    <row r="11" spans="1:11" x14ac:dyDescent="0.15">
      <c r="A11" s="1">
        <f t="shared" si="4"/>
        <v>7</v>
      </c>
      <c r="B11" s="20">
        <v>2.5129999999999868E-4</v>
      </c>
      <c r="C11" s="5">
        <f t="shared" si="8"/>
        <v>99411.450982153809</v>
      </c>
      <c r="D11" s="51">
        <f t="shared" si="5"/>
        <v>24.982097631815122</v>
      </c>
      <c r="E11" s="54">
        <f t="shared" si="1"/>
        <v>0.99650698951311067</v>
      </c>
      <c r="F11" s="55">
        <f t="shared" si="6"/>
        <v>99064.205741356258</v>
      </c>
      <c r="G11" s="56">
        <f t="shared" si="2"/>
        <v>7700417.455450098</v>
      </c>
      <c r="H11" s="57">
        <f t="shared" si="2"/>
        <v>314498615.24598247</v>
      </c>
      <c r="I11" s="55">
        <f t="shared" si="7"/>
        <v>24.882393705949728</v>
      </c>
      <c r="J11" s="56">
        <f t="shared" si="3"/>
        <v>95215.921155924225</v>
      </c>
      <c r="K11" s="57">
        <f t="shared" si="3"/>
        <v>7543246.7331882492</v>
      </c>
    </row>
    <row r="12" spans="1:11" x14ac:dyDescent="0.15">
      <c r="A12" s="1">
        <f t="shared" si="4"/>
        <v>8</v>
      </c>
      <c r="B12" s="20">
        <v>2.5770000000001109E-4</v>
      </c>
      <c r="C12" s="5">
        <f t="shared" si="8"/>
        <v>99386.468884521993</v>
      </c>
      <c r="D12" s="51">
        <f t="shared" si="5"/>
        <v>25.611893031542422</v>
      </c>
      <c r="E12" s="54">
        <f t="shared" si="1"/>
        <v>0.99600898502060053</v>
      </c>
      <c r="F12" s="55">
        <f t="shared" si="6"/>
        <v>98989.815998454244</v>
      </c>
      <c r="G12" s="56">
        <f t="shared" si="2"/>
        <v>7601353.2497087419</v>
      </c>
      <c r="H12" s="57">
        <f t="shared" si="2"/>
        <v>306798197.79053235</v>
      </c>
      <c r="I12" s="55">
        <f t="shared" si="7"/>
        <v>25.496927119243139</v>
      </c>
      <c r="J12" s="56">
        <f t="shared" si="3"/>
        <v>95191.038762218275</v>
      </c>
      <c r="K12" s="57">
        <f t="shared" si="3"/>
        <v>7448030.8120323252</v>
      </c>
    </row>
    <row r="13" spans="1:11" x14ac:dyDescent="0.15">
      <c r="A13" s="1">
        <f t="shared" si="4"/>
        <v>9</v>
      </c>
      <c r="B13" s="20">
        <v>2.6899999999994772E-4</v>
      </c>
      <c r="C13" s="5">
        <f t="shared" si="8"/>
        <v>99360.856991490451</v>
      </c>
      <c r="D13" s="51">
        <f t="shared" si="5"/>
        <v>26.728070530705736</v>
      </c>
      <c r="E13" s="54">
        <f t="shared" si="1"/>
        <v>0.99551122940589765</v>
      </c>
      <c r="F13" s="55">
        <f t="shared" si="6"/>
        <v>98914.848898422235</v>
      </c>
      <c r="G13" s="56">
        <f t="shared" si="2"/>
        <v>7502363.4337102873</v>
      </c>
      <c r="H13" s="57">
        <f t="shared" si="2"/>
        <v>299196844.54082364</v>
      </c>
      <c r="I13" s="55">
        <f t="shared" si="7"/>
        <v>26.594796955192813</v>
      </c>
      <c r="J13" s="56">
        <f t="shared" si="3"/>
        <v>95165.541835099037</v>
      </c>
      <c r="K13" s="57">
        <f t="shared" si="3"/>
        <v>7352839.7732701069</v>
      </c>
    </row>
    <row r="14" spans="1:11" x14ac:dyDescent="0.15">
      <c r="A14" s="1">
        <f t="shared" si="4"/>
        <v>10</v>
      </c>
      <c r="B14" s="20">
        <v>2.8439999999993996E-4</v>
      </c>
      <c r="C14" s="5">
        <f t="shared" si="8"/>
        <v>99334.128920959745</v>
      </c>
      <c r="D14" s="51">
        <f t="shared" si="5"/>
        <v>28.250626265114988</v>
      </c>
      <c r="E14" s="54">
        <f t="shared" si="1"/>
        <v>0.99501372254462528</v>
      </c>
      <c r="F14" s="55">
        <f t="shared" si="6"/>
        <v>98838.82139337188</v>
      </c>
      <c r="G14" s="56">
        <f t="shared" si="2"/>
        <v>7403448.5848118654</v>
      </c>
      <c r="H14" s="57">
        <f t="shared" si="2"/>
        <v>291694481.10711336</v>
      </c>
      <c r="I14" s="55">
        <f t="shared" si="7"/>
        <v>28.095712947795132</v>
      </c>
      <c r="J14" s="56">
        <f t="shared" si="3"/>
        <v>95138.947038143844</v>
      </c>
      <c r="K14" s="57">
        <f t="shared" si="3"/>
        <v>7257674.2314350074</v>
      </c>
    </row>
    <row r="15" spans="1:11" x14ac:dyDescent="0.15">
      <c r="A15" s="1">
        <f t="shared" si="4"/>
        <v>11</v>
      </c>
      <c r="B15" s="20">
        <v>3.0349999999994644E-4</v>
      </c>
      <c r="C15" s="5">
        <f t="shared" si="8"/>
        <v>99305.87829469463</v>
      </c>
      <c r="D15" s="51">
        <f t="shared" si="5"/>
        <v>30.1393340624345</v>
      </c>
      <c r="E15" s="54">
        <f t="shared" si="1"/>
        <v>0.9945164643124691</v>
      </c>
      <c r="F15" s="55">
        <f t="shared" si="6"/>
        <v>98761.330967084068</v>
      </c>
      <c r="G15" s="56">
        <f t="shared" si="2"/>
        <v>7304609.7634184938</v>
      </c>
      <c r="H15" s="57">
        <f t="shared" si="2"/>
        <v>284291032.5223015</v>
      </c>
      <c r="I15" s="55">
        <f t="shared" si="7"/>
        <v>29.959084406301571</v>
      </c>
      <c r="J15" s="56">
        <f t="shared" si="3"/>
        <v>95110.851325196054</v>
      </c>
      <c r="K15" s="57">
        <f t="shared" si="3"/>
        <v>7162535.2843968635</v>
      </c>
    </row>
    <row r="16" spans="1:11" x14ac:dyDescent="0.15">
      <c r="A16" s="1">
        <f t="shared" si="4"/>
        <v>12</v>
      </c>
      <c r="B16" s="20">
        <v>3.2580000000009753E-4</v>
      </c>
      <c r="C16" s="5">
        <f t="shared" si="8"/>
        <v>99275.738960632196</v>
      </c>
      <c r="D16" s="51">
        <f t="shared" si="5"/>
        <v>32.34403575338365</v>
      </c>
      <c r="E16" s="54">
        <f t="shared" si="1"/>
        <v>0.99401945458517638</v>
      </c>
      <c r="F16" s="55">
        <f t="shared" si="6"/>
        <v>98682.015895187957</v>
      </c>
      <c r="G16" s="56">
        <f t="shared" si="2"/>
        <v>7205848.4324514093</v>
      </c>
      <c r="H16" s="57">
        <f t="shared" si="2"/>
        <v>276986422.758883</v>
      </c>
      <c r="I16" s="55">
        <f t="shared" si="7"/>
        <v>32.134533511905914</v>
      </c>
      <c r="J16" s="56">
        <f t="shared" si="3"/>
        <v>95080.892240789748</v>
      </c>
      <c r="K16" s="57">
        <f t="shared" si="3"/>
        <v>7067424.4330716673</v>
      </c>
    </row>
    <row r="17" spans="1:11" x14ac:dyDescent="0.15">
      <c r="A17" s="1">
        <f t="shared" si="4"/>
        <v>13</v>
      </c>
      <c r="B17" s="20">
        <v>3.502999999999594E-4</v>
      </c>
      <c r="C17" s="5">
        <f t="shared" si="8"/>
        <v>99243.394924878812</v>
      </c>
      <c r="D17" s="51">
        <f t="shared" si="5"/>
        <v>34.764961242181016</v>
      </c>
      <c r="E17" s="54">
        <f t="shared" si="1"/>
        <v>0.99352269323855724</v>
      </c>
      <c r="F17" s="55">
        <f t="shared" si="6"/>
        <v>98600.565011903367</v>
      </c>
      <c r="G17" s="56">
        <f t="shared" si="2"/>
        <v>7107166.4165562214</v>
      </c>
      <c r="H17" s="57">
        <f t="shared" si="2"/>
        <v>269780574.32643157</v>
      </c>
      <c r="I17" s="55">
        <f t="shared" si="7"/>
        <v>34.522516665333079</v>
      </c>
      <c r="J17" s="56">
        <f t="shared" si="3"/>
        <v>95048.757707277837</v>
      </c>
      <c r="K17" s="57">
        <f t="shared" si="3"/>
        <v>6972343.5408308776</v>
      </c>
    </row>
    <row r="18" spans="1:11" x14ac:dyDescent="0.15">
      <c r="A18" s="1">
        <f t="shared" si="4"/>
        <v>14</v>
      </c>
      <c r="B18" s="20">
        <v>3.7490000000002489E-4</v>
      </c>
      <c r="C18" s="5">
        <f t="shared" si="8"/>
        <v>99208.629963636631</v>
      </c>
      <c r="D18" s="51">
        <f t="shared" si="5"/>
        <v>37.193315373369842</v>
      </c>
      <c r="E18" s="54">
        <f t="shared" si="1"/>
        <v>0.99302618014848321</v>
      </c>
      <c r="F18" s="55">
        <f t="shared" si="6"/>
        <v>98516.766850554442</v>
      </c>
      <c r="G18" s="56">
        <f t="shared" si="2"/>
        <v>7008565.8515443178</v>
      </c>
      <c r="H18" s="57">
        <f t="shared" si="2"/>
        <v>262673407.90987533</v>
      </c>
      <c r="I18" s="55">
        <f t="shared" si="7"/>
        <v>36.915478153198698</v>
      </c>
      <c r="J18" s="56">
        <f t="shared" si="3"/>
        <v>95014.235190612497</v>
      </c>
      <c r="K18" s="57">
        <f t="shared" si="3"/>
        <v>6877294.7831235994</v>
      </c>
    </row>
    <row r="19" spans="1:11" x14ac:dyDescent="0.15">
      <c r="A19" s="1">
        <f t="shared" si="4"/>
        <v>15</v>
      </c>
      <c r="B19" s="20">
        <v>3.9730000000005579E-4</v>
      </c>
      <c r="C19" s="5">
        <f t="shared" si="8"/>
        <v>99171.436648263261</v>
      </c>
      <c r="D19" s="51">
        <f t="shared" si="5"/>
        <v>39.400811780360527</v>
      </c>
      <c r="E19" s="54">
        <f t="shared" si="1"/>
        <v>0.99252991519088751</v>
      </c>
      <c r="F19" s="55">
        <f t="shared" si="6"/>
        <v>98430.61760585921</v>
      </c>
      <c r="G19" s="56">
        <f t="shared" si="2"/>
        <v>6910049.0846937634</v>
      </c>
      <c r="H19" s="57">
        <f t="shared" si="2"/>
        <v>255664842.05833101</v>
      </c>
      <c r="I19" s="55">
        <f t="shared" si="7"/>
        <v>39.086940904361178</v>
      </c>
      <c r="J19" s="56">
        <f t="shared" si="3"/>
        <v>94977.319712459299</v>
      </c>
      <c r="K19" s="57">
        <f t="shared" si="3"/>
        <v>6782280.5479329871</v>
      </c>
    </row>
    <row r="20" spans="1:11" x14ac:dyDescent="0.15">
      <c r="A20" s="1">
        <f t="shared" si="4"/>
        <v>16</v>
      </c>
      <c r="B20" s="20">
        <v>4.1520000000000646E-4</v>
      </c>
      <c r="C20" s="5">
        <f t="shared" si="8"/>
        <v>99132.035836482901</v>
      </c>
      <c r="D20" s="51">
        <f t="shared" si="5"/>
        <v>41.15962127930834</v>
      </c>
      <c r="E20" s="54">
        <f t="shared" si="1"/>
        <v>0.99203389824176669</v>
      </c>
      <c r="F20" s="55">
        <f t="shared" si="6"/>
        <v>98342.339951508649</v>
      </c>
      <c r="G20" s="56">
        <f t="shared" si="2"/>
        <v>6811618.467087904</v>
      </c>
      <c r="H20" s="57">
        <f t="shared" si="2"/>
        <v>248754792.97363725</v>
      </c>
      <c r="I20" s="55">
        <f t="shared" si="7"/>
        <v>40.811333880926568</v>
      </c>
      <c r="J20" s="56">
        <f t="shared" si="3"/>
        <v>94938.232771554933</v>
      </c>
      <c r="K20" s="57">
        <f t="shared" si="3"/>
        <v>6687303.228220528</v>
      </c>
    </row>
    <row r="21" spans="1:11" x14ac:dyDescent="0.15">
      <c r="A21" s="1">
        <f t="shared" si="4"/>
        <v>17</v>
      </c>
      <c r="B21" s="20">
        <v>4.2660000000011131E-4</v>
      </c>
      <c r="C21" s="5">
        <f t="shared" si="8"/>
        <v>99090.876215203592</v>
      </c>
      <c r="D21" s="51">
        <f t="shared" si="5"/>
        <v>42.272167793416884</v>
      </c>
      <c r="E21" s="54">
        <f t="shared" si="1"/>
        <v>0.99153812917717832</v>
      </c>
      <c r="F21" s="55">
        <f t="shared" si="6"/>
        <v>98252.382020950332</v>
      </c>
      <c r="G21" s="56">
        <f t="shared" si="2"/>
        <v>6713276.1271363953</v>
      </c>
      <c r="H21" s="57">
        <f t="shared" si="2"/>
        <v>241943174.50654936</v>
      </c>
      <c r="I21" s="55">
        <f t="shared" si="7"/>
        <v>41.893519410443119</v>
      </c>
      <c r="J21" s="56">
        <f t="shared" si="3"/>
        <v>94897.421437674013</v>
      </c>
      <c r="K21" s="57">
        <f t="shared" si="3"/>
        <v>6592364.995448973</v>
      </c>
    </row>
    <row r="22" spans="1:11" x14ac:dyDescent="0.15">
      <c r="A22" s="1">
        <f t="shared" si="4"/>
        <v>18</v>
      </c>
      <c r="B22" s="20">
        <v>4.2959999999997618E-4</v>
      </c>
      <c r="C22" s="5">
        <f t="shared" si="8"/>
        <v>99048.604047410176</v>
      </c>
      <c r="D22" s="51">
        <f t="shared" si="5"/>
        <v>42.55128029876505</v>
      </c>
      <c r="E22" s="54">
        <f t="shared" si="1"/>
        <v>0.99104260787324161</v>
      </c>
      <c r="F22" s="55">
        <f t="shared" si="6"/>
        <v>98161.3868613495</v>
      </c>
      <c r="G22" s="56">
        <f t="shared" si="2"/>
        <v>6615023.745115445</v>
      </c>
      <c r="H22" s="57">
        <f t="shared" si="2"/>
        <v>235229898.37941295</v>
      </c>
      <c r="I22" s="55">
        <f t="shared" si="7"/>
        <v>42.149057266999904</v>
      </c>
      <c r="J22" s="56">
        <f t="shared" si="3"/>
        <v>94855.527918263571</v>
      </c>
      <c r="K22" s="57">
        <f t="shared" si="3"/>
        <v>6497467.5740112988</v>
      </c>
    </row>
    <row r="23" spans="1:11" x14ac:dyDescent="0.15">
      <c r="A23" s="1">
        <f t="shared" si="4"/>
        <v>19</v>
      </c>
      <c r="B23" s="20">
        <v>4.2330000000005171E-4</v>
      </c>
      <c r="C23" s="5">
        <f t="shared" si="8"/>
        <v>99006.052767111411</v>
      </c>
      <c r="D23" s="51">
        <f t="shared" si="5"/>
        <v>41.909262136323377</v>
      </c>
      <c r="E23" s="54">
        <f t="shared" si="1"/>
        <v>0.9905473342061385</v>
      </c>
      <c r="F23" s="55">
        <f t="shared" si="6"/>
        <v>98070.181638734488</v>
      </c>
      <c r="G23" s="56">
        <f t="shared" si="2"/>
        <v>6516862.3582540955</v>
      </c>
      <c r="H23" s="57">
        <f t="shared" si="2"/>
        <v>228614874.63429749</v>
      </c>
      <c r="I23" s="55">
        <f t="shared" si="7"/>
        <v>41.492361706827964</v>
      </c>
      <c r="J23" s="56">
        <f t="shared" si="3"/>
        <v>94813.37886099657</v>
      </c>
      <c r="K23" s="57">
        <f t="shared" si="3"/>
        <v>6402612.0460930355</v>
      </c>
    </row>
    <row r="24" spans="1:11" x14ac:dyDescent="0.15">
      <c r="A24" s="1">
        <f t="shared" si="4"/>
        <v>20</v>
      </c>
      <c r="B24" s="20">
        <v>4.0750000000000253E-4</v>
      </c>
      <c r="C24" s="5">
        <f t="shared" si="8"/>
        <v>98964.143504975087</v>
      </c>
      <c r="D24" s="51">
        <f t="shared" si="5"/>
        <v>40.3278884782776</v>
      </c>
      <c r="E24" s="54">
        <f t="shared" si="1"/>
        <v>0.99005230805211242</v>
      </c>
      <c r="F24" s="55">
        <f t="shared" si="6"/>
        <v>97979.67869150106</v>
      </c>
      <c r="G24" s="56">
        <f t="shared" si="2"/>
        <v>6418792.1766153611</v>
      </c>
      <c r="H24" s="57">
        <f t="shared" si="2"/>
        <v>222098012.27604339</v>
      </c>
      <c r="I24" s="55">
        <f t="shared" si="7"/>
        <v>39.906765683944968</v>
      </c>
      <c r="J24" s="56">
        <f t="shared" si="3"/>
        <v>94771.886499289743</v>
      </c>
      <c r="K24" s="57">
        <f t="shared" si="3"/>
        <v>6307798.6672320385</v>
      </c>
    </row>
    <row r="25" spans="1:11" x14ac:dyDescent="0.15">
      <c r="A25" s="1">
        <f t="shared" si="4"/>
        <v>21</v>
      </c>
      <c r="B25" s="20">
        <v>3.8309999999998963E-4</v>
      </c>
      <c r="C25" s="5">
        <f t="shared" si="8"/>
        <v>98923.81561649681</v>
      </c>
      <c r="D25" s="51">
        <f t="shared" si="5"/>
        <v>37.897713762678904</v>
      </c>
      <c r="E25" s="54">
        <f t="shared" si="1"/>
        <v>0.98955752928746887</v>
      </c>
      <c r="F25" s="55">
        <f t="shared" si="6"/>
        <v>97890.806569149718</v>
      </c>
      <c r="G25" s="56">
        <f t="shared" si="2"/>
        <v>6320812.4979238603</v>
      </c>
      <c r="H25" s="57">
        <f t="shared" si="2"/>
        <v>215679220.09942803</v>
      </c>
      <c r="I25" s="55">
        <f t="shared" si="7"/>
        <v>37.483226383448518</v>
      </c>
      <c r="J25" s="56">
        <f t="shared" si="3"/>
        <v>94731.979733605796</v>
      </c>
      <c r="K25" s="57">
        <f t="shared" si="3"/>
        <v>6213026.780732749</v>
      </c>
    </row>
    <row r="26" spans="1:11" x14ac:dyDescent="0.15">
      <c r="A26" s="1">
        <f t="shared" si="4"/>
        <v>22</v>
      </c>
      <c r="B26" s="20">
        <v>3.5200000000001468E-4</v>
      </c>
      <c r="C26" s="5">
        <f t="shared" si="8"/>
        <v>98885.917902734131</v>
      </c>
      <c r="D26" s="51">
        <f t="shared" si="5"/>
        <v>34.807843101763865</v>
      </c>
      <c r="E26" s="54">
        <f t="shared" si="1"/>
        <v>0.98906299778857465</v>
      </c>
      <c r="F26" s="55">
        <f t="shared" si="6"/>
        <v>97804.402399953105</v>
      </c>
      <c r="G26" s="56">
        <f t="shared" si="2"/>
        <v>6222921.6913547106</v>
      </c>
      <c r="H26" s="57">
        <f t="shared" si="2"/>
        <v>209358407.60150418</v>
      </c>
      <c r="I26" s="55">
        <f t="shared" si="7"/>
        <v>34.409944672448695</v>
      </c>
      <c r="J26" s="56">
        <f t="shared" si="3"/>
        <v>94694.496507222342</v>
      </c>
      <c r="K26" s="57">
        <f t="shared" si="3"/>
        <v>6118294.8009991432</v>
      </c>
    </row>
    <row r="27" spans="1:11" x14ac:dyDescent="0.15">
      <c r="A27" s="1">
        <f t="shared" si="4"/>
        <v>23</v>
      </c>
      <c r="B27" s="20">
        <v>3.1699999999994021E-4</v>
      </c>
      <c r="C27" s="5">
        <f t="shared" si="8"/>
        <v>98851.110059632367</v>
      </c>
      <c r="D27" s="51">
        <f t="shared" si="5"/>
        <v>31.335801888897549</v>
      </c>
      <c r="E27" s="54">
        <f t="shared" si="1"/>
        <v>0.98856871343185848</v>
      </c>
      <c r="F27" s="55">
        <f t="shared" si="6"/>
        <v>97721.114692961812</v>
      </c>
      <c r="G27" s="56">
        <f t="shared" si="2"/>
        <v>6125117.2889547572</v>
      </c>
      <c r="H27" s="57">
        <f t="shared" si="2"/>
        <v>203135485.91014946</v>
      </c>
      <c r="I27" s="55">
        <f t="shared" si="7"/>
        <v>30.962112301512299</v>
      </c>
      <c r="J27" s="56">
        <f t="shared" si="3"/>
        <v>94660.086562549899</v>
      </c>
      <c r="K27" s="57">
        <f t="shared" si="3"/>
        <v>6023600.3044919204</v>
      </c>
    </row>
    <row r="28" spans="1:11" x14ac:dyDescent="0.15">
      <c r="A28" s="1">
        <f t="shared" si="4"/>
        <v>24</v>
      </c>
      <c r="B28" s="20">
        <v>2.8140000000004078E-4</v>
      </c>
      <c r="C28" s="5">
        <f t="shared" si="8"/>
        <v>98819.774257743469</v>
      </c>
      <c r="D28" s="51">
        <f t="shared" si="5"/>
        <v>27.80788447613304</v>
      </c>
      <c r="E28" s="54">
        <f t="shared" si="1"/>
        <v>0.98807467609381172</v>
      </c>
      <c r="F28" s="55">
        <f t="shared" si="6"/>
        <v>97641.316441383475</v>
      </c>
      <c r="G28" s="56">
        <f t="shared" si="2"/>
        <v>6027396.1742617954</v>
      </c>
      <c r="H28" s="57">
        <f t="shared" si="2"/>
        <v>197010368.62119469</v>
      </c>
      <c r="I28" s="55">
        <f t="shared" si="7"/>
        <v>27.462535179019781</v>
      </c>
      <c r="J28" s="56">
        <f t="shared" si="3"/>
        <v>94629.12445024839</v>
      </c>
      <c r="K28" s="57">
        <f t="shared" si="3"/>
        <v>5928940.2179293707</v>
      </c>
    </row>
    <row r="29" spans="1:11" x14ac:dyDescent="0.15">
      <c r="A29" s="1">
        <f t="shared" si="4"/>
        <v>25</v>
      </c>
      <c r="B29" s="20">
        <v>2.4869999999992625E-4</v>
      </c>
      <c r="C29" s="5">
        <f t="shared" si="8"/>
        <v>98791.966373267336</v>
      </c>
      <c r="D29" s="51">
        <f t="shared" si="5"/>
        <v>24.569562037024298</v>
      </c>
      <c r="E29" s="54">
        <f t="shared" si="1"/>
        <v>0.98758088565098634</v>
      </c>
      <c r="F29" s="55">
        <f t="shared" si="6"/>
        <v>97565.057646113812</v>
      </c>
      <c r="G29" s="56">
        <f t="shared" si="2"/>
        <v>5929754.8578204121</v>
      </c>
      <c r="H29" s="57">
        <f t="shared" si="2"/>
        <v>190982972.44693288</v>
      </c>
      <c r="I29" s="55">
        <f t="shared" si="7"/>
        <v>24.252303684738941</v>
      </c>
      <c r="J29" s="56">
        <f t="shared" si="3"/>
        <v>94601.661915069373</v>
      </c>
      <c r="K29" s="57">
        <f t="shared" si="3"/>
        <v>5834311.093479122</v>
      </c>
    </row>
    <row r="30" spans="1:11" x14ac:dyDescent="0.15">
      <c r="A30" s="1">
        <f t="shared" si="4"/>
        <v>26</v>
      </c>
      <c r="B30" s="20">
        <v>2.2120000000003676E-4</v>
      </c>
      <c r="C30" s="5">
        <f t="shared" si="8"/>
        <v>98767.396811230312</v>
      </c>
      <c r="D30" s="51">
        <f t="shared" si="5"/>
        <v>21.847348174647777</v>
      </c>
      <c r="E30" s="54">
        <f t="shared" si="1"/>
        <v>0.98708734197999637</v>
      </c>
      <c r="F30" s="55">
        <f t="shared" si="6"/>
        <v>97492.047192680897</v>
      </c>
      <c r="G30" s="56">
        <f t="shared" si="2"/>
        <v>5832189.8001742987</v>
      </c>
      <c r="H30" s="57">
        <f t="shared" si="2"/>
        <v>185053217.58911246</v>
      </c>
      <c r="I30" s="55">
        <f t="shared" si="7"/>
        <v>21.554463607220985</v>
      </c>
      <c r="J30" s="56">
        <f t="shared" si="3"/>
        <v>94577.409611384632</v>
      </c>
      <c r="K30" s="57">
        <f t="shared" si="3"/>
        <v>5739709.4315640526</v>
      </c>
    </row>
    <row r="31" spans="1:11" x14ac:dyDescent="0.15">
      <c r="A31" s="1">
        <f t="shared" si="4"/>
        <v>27</v>
      </c>
      <c r="B31" s="20">
        <v>2.0040000000005274E-4</v>
      </c>
      <c r="C31" s="5">
        <f t="shared" si="8"/>
        <v>98745.549463055664</v>
      </c>
      <c r="D31" s="51">
        <f t="shared" si="5"/>
        <v>19.788608112401562</v>
      </c>
      <c r="E31" s="54">
        <f t="shared" si="1"/>
        <v>0.98659404495751746</v>
      </c>
      <c r="F31" s="55">
        <f t="shared" si="6"/>
        <v>97421.771066308705</v>
      </c>
      <c r="G31" s="56">
        <f t="shared" si="2"/>
        <v>5734697.752981618</v>
      </c>
      <c r="H31" s="57">
        <f t="shared" si="2"/>
        <v>179221027.78893816</v>
      </c>
      <c r="I31" s="55">
        <f t="shared" si="7"/>
        <v>19.513566138624093</v>
      </c>
      <c r="J31" s="56">
        <f t="shared" si="3"/>
        <v>94555.855147777416</v>
      </c>
      <c r="K31" s="57">
        <f t="shared" si="3"/>
        <v>5645132.0219526682</v>
      </c>
    </row>
    <row r="32" spans="1:11" x14ac:dyDescent="0.15">
      <c r="A32" s="1">
        <f t="shared" si="4"/>
        <v>28</v>
      </c>
      <c r="B32" s="20">
        <v>1.8759999999989291E-4</v>
      </c>
      <c r="C32" s="5">
        <f t="shared" si="8"/>
        <v>98725.760854943263</v>
      </c>
      <c r="D32" s="51">
        <f t="shared" si="5"/>
        <v>18.520952736376785</v>
      </c>
      <c r="E32" s="54">
        <f t="shared" si="1"/>
        <v>0.98610099446028743</v>
      </c>
      <c r="F32" s="55">
        <f t="shared" si="6"/>
        <v>97353.570957908072</v>
      </c>
      <c r="G32" s="56">
        <f t="shared" si="2"/>
        <v>5637275.9819153091</v>
      </c>
      <c r="H32" s="57">
        <f t="shared" si="2"/>
        <v>173486330.03595653</v>
      </c>
      <c r="I32" s="55">
        <f t="shared" si="7"/>
        <v>18.25440271033796</v>
      </c>
      <c r="J32" s="56">
        <f t="shared" si="3"/>
        <v>94536.341581638786</v>
      </c>
      <c r="K32" s="57">
        <f t="shared" si="3"/>
        <v>5550576.1668048911</v>
      </c>
    </row>
    <row r="33" spans="1:11" x14ac:dyDescent="0.15">
      <c r="A33" s="1">
        <f t="shared" si="4"/>
        <v>29</v>
      </c>
      <c r="B33" s="20">
        <v>1.8339999999999069E-4</v>
      </c>
      <c r="C33" s="5">
        <f t="shared" si="8"/>
        <v>98707.239902206886</v>
      </c>
      <c r="D33" s="51">
        <f t="shared" si="5"/>
        <v>18.102907798063825</v>
      </c>
      <c r="E33" s="54">
        <f t="shared" si="1"/>
        <v>0.98560819036510483</v>
      </c>
      <c r="F33" s="55">
        <f t="shared" si="6"/>
        <v>97286.664095948392</v>
      </c>
      <c r="G33" s="56">
        <f t="shared" si="2"/>
        <v>5539922.4109574007</v>
      </c>
      <c r="H33" s="57">
        <f t="shared" si="2"/>
        <v>167849054.05404124</v>
      </c>
      <c r="I33" s="55">
        <f t="shared" si="7"/>
        <v>17.833457466462804</v>
      </c>
      <c r="J33" s="56">
        <f t="shared" si="3"/>
        <v>94518.087178928443</v>
      </c>
      <c r="K33" s="57">
        <f t="shared" si="3"/>
        <v>5456039.8252232522</v>
      </c>
    </row>
    <row r="34" spans="1:11" x14ac:dyDescent="0.15">
      <c r="A34" s="1">
        <f t="shared" si="4"/>
        <v>30</v>
      </c>
      <c r="B34" s="20">
        <v>1.8759999999989278E-4</v>
      </c>
      <c r="C34" s="5">
        <f t="shared" si="8"/>
        <v>98689.136994408822</v>
      </c>
      <c r="D34" s="51">
        <f t="shared" si="5"/>
        <v>18.514082100140513</v>
      </c>
      <c r="E34" s="54">
        <f t="shared" si="1"/>
        <v>0.98511563254883072</v>
      </c>
      <c r="F34" s="55">
        <f t="shared" si="6"/>
        <v>97220.211615945256</v>
      </c>
      <c r="G34" s="56">
        <f t="shared" si="2"/>
        <v>5442635.7468614522</v>
      </c>
      <c r="H34" s="57">
        <f t="shared" si="2"/>
        <v>162309131.64308384</v>
      </c>
      <c r="I34" s="55">
        <f t="shared" si="7"/>
        <v>18.229397000640581</v>
      </c>
      <c r="J34" s="56">
        <f t="shared" si="3"/>
        <v>94500.253721461981</v>
      </c>
      <c r="K34" s="57">
        <f t="shared" si="3"/>
        <v>5361521.7380443234</v>
      </c>
    </row>
    <row r="35" spans="1:11" x14ac:dyDescent="0.15">
      <c r="A35" s="1">
        <f t="shared" si="4"/>
        <v>31</v>
      </c>
      <c r="B35" s="20">
        <v>1.9910000000005444E-4</v>
      </c>
      <c r="C35" s="5">
        <f t="shared" si="8"/>
        <v>98670.622912308681</v>
      </c>
      <c r="D35" s="51">
        <f t="shared" si="5"/>
        <v>19.64532102184603</v>
      </c>
      <c r="E35" s="54">
        <f t="shared" si="1"/>
        <v>0.98462332088838622</v>
      </c>
      <c r="F35" s="55">
        <f t="shared" si="6"/>
        <v>97153.396406043059</v>
      </c>
      <c r="G35" s="56">
        <f t="shared" si="2"/>
        <v>5345415.535245507</v>
      </c>
      <c r="H35" s="57">
        <f t="shared" si="2"/>
        <v>156866495.89622238</v>
      </c>
      <c r="I35" s="55">
        <f t="shared" si="7"/>
        <v>19.333574437229853</v>
      </c>
      <c r="J35" s="56">
        <f t="shared" si="3"/>
        <v>94482.024324461338</v>
      </c>
      <c r="K35" s="57">
        <f t="shared" si="3"/>
        <v>5267021.4843228618</v>
      </c>
    </row>
    <row r="36" spans="1:11" x14ac:dyDescent="0.15">
      <c r="A36" s="1">
        <f t="shared" si="4"/>
        <v>32</v>
      </c>
      <c r="B36" s="20">
        <v>2.1620000000005581E-4</v>
      </c>
      <c r="C36" s="5">
        <f t="shared" si="8"/>
        <v>98650.977591286835</v>
      </c>
      <c r="D36" s="51">
        <f t="shared" si="5"/>
        <v>21.328341355241719</v>
      </c>
      <c r="E36" s="54">
        <f t="shared" si="1"/>
        <v>0.98413125526075607</v>
      </c>
      <c r="F36" s="55">
        <f t="shared" si="6"/>
        <v>97085.510409613838</v>
      </c>
      <c r="G36" s="56">
        <f t="shared" si="2"/>
        <v>5248262.1388394637</v>
      </c>
      <c r="H36" s="57">
        <f t="shared" si="2"/>
        <v>151521080.36097687</v>
      </c>
      <c r="I36" s="55">
        <f t="shared" si="7"/>
        <v>20.979397651738058</v>
      </c>
      <c r="J36" s="56">
        <f t="shared" si="3"/>
        <v>94462.690750024107</v>
      </c>
      <c r="K36" s="57">
        <f t="shared" si="3"/>
        <v>5172539.4599984009</v>
      </c>
    </row>
    <row r="37" spans="1:11" x14ac:dyDescent="0.15">
      <c r="A37" s="1">
        <f t="shared" si="4"/>
        <v>33</v>
      </c>
      <c r="B37" s="20">
        <v>2.3669999999999133E-4</v>
      </c>
      <c r="C37" s="5">
        <f t="shared" si="8"/>
        <v>98629.649249931594</v>
      </c>
      <c r="D37" s="51">
        <f t="shared" si="5"/>
        <v>23.345637977457955</v>
      </c>
      <c r="E37" s="54">
        <f t="shared" si="1"/>
        <v>0.98363943554298461</v>
      </c>
      <c r="F37" s="55">
        <f t="shared" si="6"/>
        <v>97016.01251600527</v>
      </c>
      <c r="G37" s="56">
        <f t="shared" si="2"/>
        <v>5151176.6284298496</v>
      </c>
      <c r="H37" s="57">
        <f t="shared" si="2"/>
        <v>146272818.22213742</v>
      </c>
      <c r="I37" s="55">
        <f t="shared" si="7"/>
        <v>22.952214055509856</v>
      </c>
      <c r="J37" s="56">
        <f t="shared" si="3"/>
        <v>94441.711352372367</v>
      </c>
      <c r="K37" s="57">
        <f t="shared" si="3"/>
        <v>5078076.7692483766</v>
      </c>
    </row>
    <row r="38" spans="1:11" x14ac:dyDescent="0.15">
      <c r="A38" s="1">
        <f t="shared" si="4"/>
        <v>34</v>
      </c>
      <c r="B38" s="20">
        <v>2.5949999999993171E-4</v>
      </c>
      <c r="C38" s="5">
        <f t="shared" si="8"/>
        <v>98606.303611954136</v>
      </c>
      <c r="D38" s="51">
        <f t="shared" si="5"/>
        <v>25.588335787295364</v>
      </c>
      <c r="E38" s="54">
        <f t="shared" si="1"/>
        <v>0.98314786161217871</v>
      </c>
      <c r="F38" s="55">
        <f t="shared" si="6"/>
        <v>96944.576537573957</v>
      </c>
      <c r="G38" s="56">
        <f t="shared" si="2"/>
        <v>5054160.6159138447</v>
      </c>
      <c r="H38" s="57">
        <f t="shared" si="2"/>
        <v>141121641.59370756</v>
      </c>
      <c r="I38" s="55">
        <f t="shared" si="7"/>
        <v>25.144545338824408</v>
      </c>
      <c r="J38" s="56">
        <f t="shared" si="3"/>
        <v>94418.759138316862</v>
      </c>
      <c r="K38" s="57">
        <f t="shared" si="3"/>
        <v>4983635.0578960041</v>
      </c>
    </row>
    <row r="39" spans="1:11" x14ac:dyDescent="0.15">
      <c r="A39" s="1">
        <f t="shared" si="4"/>
        <v>35</v>
      </c>
      <c r="B39" s="20">
        <v>2.8559999999998856E-4</v>
      </c>
      <c r="C39" s="5">
        <f t="shared" si="8"/>
        <v>98580.71527616684</v>
      </c>
      <c r="D39" s="51">
        <f t="shared" si="5"/>
        <v>28.154652282872121</v>
      </c>
      <c r="E39" s="54">
        <f t="shared" si="1"/>
        <v>0.98265653334550584</v>
      </c>
      <c r="F39" s="55">
        <f t="shared" si="6"/>
        <v>96870.983927998459</v>
      </c>
      <c r="G39" s="56">
        <f t="shared" si="2"/>
        <v>4957216.039376271</v>
      </c>
      <c r="H39" s="57">
        <f t="shared" si="2"/>
        <v>136067480.97779372</v>
      </c>
      <c r="I39" s="55">
        <f t="shared" si="7"/>
        <v>27.652526746462016</v>
      </c>
      <c r="J39" s="56">
        <f t="shared" si="3"/>
        <v>94393.614592978032</v>
      </c>
      <c r="K39" s="57">
        <f t="shared" si="3"/>
        <v>4889216.2987576872</v>
      </c>
    </row>
    <row r="40" spans="1:11" x14ac:dyDescent="0.15">
      <c r="A40" s="1">
        <f t="shared" si="4"/>
        <v>36</v>
      </c>
      <c r="B40" s="20">
        <v>3.1780000000005229E-4</v>
      </c>
      <c r="C40" s="5">
        <f t="shared" si="8"/>
        <v>98552.560623883968</v>
      </c>
      <c r="D40" s="51">
        <f t="shared" si="5"/>
        <v>31.320003766275477</v>
      </c>
      <c r="E40" s="54">
        <f t="shared" si="1"/>
        <v>0.98216545062019567</v>
      </c>
      <c r="F40" s="55">
        <f t="shared" si="6"/>
        <v>96794.920114931156</v>
      </c>
      <c r="G40" s="56">
        <f t="shared" si="2"/>
        <v>4860345.0554482723</v>
      </c>
      <c r="H40" s="57">
        <f t="shared" si="2"/>
        <v>131110264.93841746</v>
      </c>
      <c r="I40" s="55">
        <f t="shared" si="7"/>
        <v>30.74605258623706</v>
      </c>
      <c r="J40" s="56">
        <f t="shared" si="3"/>
        <v>94365.962066231572</v>
      </c>
      <c r="K40" s="57">
        <f t="shared" si="3"/>
        <v>4794822.6841647094</v>
      </c>
    </row>
    <row r="41" spans="1:11" x14ac:dyDescent="0.15">
      <c r="A41" s="1">
        <f t="shared" si="4"/>
        <v>37</v>
      </c>
      <c r="B41" s="20">
        <v>3.6019999999998046E-4</v>
      </c>
      <c r="C41" s="5">
        <f t="shared" si="8"/>
        <v>98521.240620117693</v>
      </c>
      <c r="D41" s="51">
        <f t="shared" si="5"/>
        <v>35.48735087136447</v>
      </c>
      <c r="E41" s="54">
        <f t="shared" si="1"/>
        <v>0.98167461331353889</v>
      </c>
      <c r="F41" s="55">
        <f t="shared" si="6"/>
        <v>96715.800788924156</v>
      </c>
      <c r="G41" s="56">
        <f t="shared" si="2"/>
        <v>4763550.1353333415</v>
      </c>
      <c r="H41" s="57">
        <f t="shared" si="2"/>
        <v>126249919.88296919</v>
      </c>
      <c r="I41" s="55">
        <f t="shared" si="7"/>
        <v>34.819621633351922</v>
      </c>
      <c r="J41" s="56">
        <f t="shared" si="3"/>
        <v>94335.216013645331</v>
      </c>
      <c r="K41" s="57">
        <f t="shared" si="3"/>
        <v>4700456.7220984781</v>
      </c>
    </row>
    <row r="42" spans="1:11" x14ac:dyDescent="0.15">
      <c r="A42" s="1">
        <f t="shared" si="4"/>
        <v>38</v>
      </c>
      <c r="B42" s="20">
        <v>4.1550000000001899E-4</v>
      </c>
      <c r="C42" s="5">
        <f t="shared" si="8"/>
        <v>98485.753269246328</v>
      </c>
      <c r="D42" s="51">
        <f t="shared" si="5"/>
        <v>40.92083048337372</v>
      </c>
      <c r="E42" s="54">
        <f t="shared" si="1"/>
        <v>0.98118402130288762</v>
      </c>
      <c r="F42" s="55">
        <f t="shared" si="6"/>
        <v>96632.647433763123</v>
      </c>
      <c r="G42" s="56">
        <f t="shared" si="2"/>
        <v>4666834.3345444174</v>
      </c>
      <c r="H42" s="57">
        <f t="shared" si="2"/>
        <v>121486369.74763584</v>
      </c>
      <c r="I42" s="55">
        <f t="shared" si="7"/>
        <v>40.130799608925948</v>
      </c>
      <c r="J42" s="56">
        <f t="shared" si="3"/>
        <v>94300.396392011986</v>
      </c>
      <c r="K42" s="57">
        <f t="shared" si="3"/>
        <v>4606121.5060848324</v>
      </c>
    </row>
    <row r="43" spans="1:11" x14ac:dyDescent="0.15">
      <c r="A43" s="1">
        <f t="shared" si="4"/>
        <v>39</v>
      </c>
      <c r="B43" s="20">
        <v>4.8289999999988115E-4</v>
      </c>
      <c r="C43" s="5">
        <f t="shared" si="8"/>
        <v>98444.832438762955</v>
      </c>
      <c r="D43" s="51">
        <f t="shared" si="5"/>
        <v>47.539009584666928</v>
      </c>
      <c r="E43" s="54">
        <f t="shared" si="1"/>
        <v>0.9806936744656547</v>
      </c>
      <c r="F43" s="55">
        <f t="shared" si="6"/>
        <v>96544.224456526121</v>
      </c>
      <c r="G43" s="56">
        <f t="shared" si="2"/>
        <v>4570201.6871106541</v>
      </c>
      <c r="H43" s="57">
        <f t="shared" si="2"/>
        <v>116819535.41309142</v>
      </c>
      <c r="I43" s="55">
        <f t="shared" si="7"/>
        <v>46.597907036526735</v>
      </c>
      <c r="J43" s="56">
        <f t="shared" si="3"/>
        <v>94260.265592403055</v>
      </c>
      <c r="K43" s="57">
        <f t="shared" si="3"/>
        <v>4511821.1096928203</v>
      </c>
    </row>
    <row r="44" spans="1:11" x14ac:dyDescent="0.15">
      <c r="A44" s="1">
        <f t="shared" si="4"/>
        <v>40</v>
      </c>
      <c r="B44" s="20">
        <v>5.590000000000434E-4</v>
      </c>
      <c r="C44" s="5">
        <f t="shared" si="8"/>
        <v>98397.293429178288</v>
      </c>
      <c r="D44" s="51">
        <f t="shared" si="5"/>
        <v>55.004087026914931</v>
      </c>
      <c r="E44" s="54">
        <f t="shared" si="1"/>
        <v>0.98020357267931524</v>
      </c>
      <c r="F44" s="55">
        <f t="shared" si="6"/>
        <v>96449.378561255464</v>
      </c>
      <c r="G44" s="56">
        <f t="shared" si="2"/>
        <v>4473657.4626541277</v>
      </c>
      <c r="H44" s="57">
        <f t="shared" si="2"/>
        <v>112249333.72598077</v>
      </c>
      <c r="I44" s="55">
        <f t="shared" si="7"/>
        <v>53.888258486502735</v>
      </c>
      <c r="J44" s="56">
        <f t="shared" si="3"/>
        <v>94213.667685366527</v>
      </c>
      <c r="K44" s="57">
        <f t="shared" si="3"/>
        <v>4417560.8441004176</v>
      </c>
    </row>
    <row r="45" spans="1:11" x14ac:dyDescent="0.15">
      <c r="A45" s="1">
        <f t="shared" si="4"/>
        <v>41</v>
      </c>
      <c r="B45" s="20">
        <v>6.3929999999999109E-4</v>
      </c>
      <c r="C45" s="5">
        <f t="shared" si="8"/>
        <v>98342.289342151373</v>
      </c>
      <c r="D45" s="51">
        <f t="shared" si="5"/>
        <v>62.870225576436496</v>
      </c>
      <c r="E45" s="54">
        <f t="shared" si="1"/>
        <v>0.97971371582140443</v>
      </c>
      <c r="F45" s="55">
        <f t="shared" si="6"/>
        <v>96347.289713782826</v>
      </c>
      <c r="G45" s="56">
        <f t="shared" si="2"/>
        <v>4377208.0840928722</v>
      </c>
      <c r="H45" s="57">
        <f t="shared" si="2"/>
        <v>107775676.26332664</v>
      </c>
      <c r="I45" s="55">
        <f t="shared" si="7"/>
        <v>61.564040293873568</v>
      </c>
      <c r="J45" s="56">
        <f t="shared" si="3"/>
        <v>94159.779426880021</v>
      </c>
      <c r="K45" s="57">
        <f t="shared" si="3"/>
        <v>4323347.1764150513</v>
      </c>
    </row>
    <row r="46" spans="1:11" x14ac:dyDescent="0.15">
      <c r="A46" s="1">
        <f t="shared" si="4"/>
        <v>42</v>
      </c>
      <c r="B46" s="20">
        <v>7.2029999999996899E-4</v>
      </c>
      <c r="C46" s="5">
        <f t="shared" si="8"/>
        <v>98279.419116574936</v>
      </c>
      <c r="D46" s="51">
        <f t="shared" si="5"/>
        <v>70.790665589665878</v>
      </c>
      <c r="E46" s="54">
        <f t="shared" si="1"/>
        <v>0.97922410376951974</v>
      </c>
      <c r="F46" s="55">
        <f t="shared" si="6"/>
        <v>96237.576103417101</v>
      </c>
      <c r="G46" s="56">
        <f t="shared" si="2"/>
        <v>4280860.794379089</v>
      </c>
      <c r="H46" s="57">
        <f t="shared" si="2"/>
        <v>103398468.17923377</v>
      </c>
      <c r="I46" s="55">
        <f t="shared" si="7"/>
        <v>69.285283425575571</v>
      </c>
      <c r="J46" s="56">
        <f t="shared" si="3"/>
        <v>94098.215386586147</v>
      </c>
      <c r="K46" s="57">
        <f t="shared" si="3"/>
        <v>4229187.3969881712</v>
      </c>
    </row>
    <row r="47" spans="1:11" x14ac:dyDescent="0.15">
      <c r="A47" s="1">
        <f t="shared" si="4"/>
        <v>43</v>
      </c>
      <c r="B47" s="20">
        <v>8.0060000000008484E-4</v>
      </c>
      <c r="C47" s="5">
        <f t="shared" si="8"/>
        <v>98208.62845098527</v>
      </c>
      <c r="D47" s="51">
        <f t="shared" si="5"/>
        <v>78.625827937867143</v>
      </c>
      <c r="E47" s="54">
        <f t="shared" si="1"/>
        <v>0.97873473640131914</v>
      </c>
      <c r="F47" s="55">
        <f t="shared" si="6"/>
        <v>96120.196079310161</v>
      </c>
      <c r="G47" s="56">
        <f t="shared" si="2"/>
        <v>4184623.2182756723</v>
      </c>
      <c r="H47" s="57">
        <f t="shared" si="2"/>
        <v>99117607.384854689</v>
      </c>
      <c r="I47" s="55">
        <f t="shared" si="7"/>
        <v>76.91537129545614</v>
      </c>
      <c r="J47" s="56">
        <f t="shared" si="3"/>
        <v>94028.930103160572</v>
      </c>
      <c r="K47" s="57">
        <f t="shared" si="3"/>
        <v>4135089.1816015849</v>
      </c>
    </row>
    <row r="48" spans="1:11" x14ac:dyDescent="0.15">
      <c r="A48" s="1">
        <f t="shared" si="4"/>
        <v>44</v>
      </c>
      <c r="B48" s="20">
        <v>8.804999999999512E-4</v>
      </c>
      <c r="C48" s="5">
        <f t="shared" si="8"/>
        <v>98130.002623047403</v>
      </c>
      <c r="D48" s="51">
        <f t="shared" si="5"/>
        <v>86.40346730958845</v>
      </c>
      <c r="E48" s="54">
        <f t="shared" si="1"/>
        <v>0.97824561359452178</v>
      </c>
      <c r="F48" s="55">
        <f t="shared" si="6"/>
        <v>95995.244628015033</v>
      </c>
      <c r="G48" s="56">
        <f t="shared" si="2"/>
        <v>4088503.0221963623</v>
      </c>
      <c r="H48" s="57">
        <f t="shared" si="2"/>
        <v>94932984.166579023</v>
      </c>
      <c r="I48" s="55">
        <f t="shared" si="7"/>
        <v>84.481572108908111</v>
      </c>
      <c r="J48" s="56">
        <f t="shared" si="3"/>
        <v>93952.014731865114</v>
      </c>
      <c r="K48" s="57">
        <f t="shared" si="3"/>
        <v>4041060.2514984244</v>
      </c>
    </row>
    <row r="49" spans="1:11" x14ac:dyDescent="0.15">
      <c r="A49" s="1">
        <f t="shared" si="4"/>
        <v>45</v>
      </c>
      <c r="B49" s="20">
        <v>9.6169999999988411E-4</v>
      </c>
      <c r="C49" s="5">
        <f t="shared" si="8"/>
        <v>98043.599155737815</v>
      </c>
      <c r="D49" s="51">
        <f t="shared" si="5"/>
        <v>94.288529308061698</v>
      </c>
      <c r="E49" s="54">
        <f t="shared" si="1"/>
        <v>0.97775673522690842</v>
      </c>
      <c r="F49" s="55">
        <f t="shared" si="6"/>
        <v>95862.789420409885</v>
      </c>
      <c r="G49" s="56">
        <f t="shared" si="2"/>
        <v>3992507.7775683473</v>
      </c>
      <c r="H49" s="57">
        <f t="shared" si="2"/>
        <v>90844481.144382656</v>
      </c>
      <c r="I49" s="55">
        <f t="shared" si="7"/>
        <v>92.145171999597309</v>
      </c>
      <c r="J49" s="56">
        <f t="shared" si="3"/>
        <v>93867.533159756204</v>
      </c>
      <c r="K49" s="57">
        <f t="shared" si="3"/>
        <v>3947108.2367665595</v>
      </c>
    </row>
    <row r="50" spans="1:11" x14ac:dyDescent="0.15">
      <c r="A50" s="1">
        <f t="shared" si="4"/>
        <v>46</v>
      </c>
      <c r="B50" s="20">
        <v>1.0457000000000424E-3</v>
      </c>
      <c r="C50" s="5">
        <f t="shared" si="8"/>
        <v>97949.310626429753</v>
      </c>
      <c r="D50" s="51">
        <f t="shared" si="5"/>
        <v>102.42559412206174</v>
      </c>
      <c r="E50" s="54">
        <f t="shared" si="1"/>
        <v>0.97726810117632057</v>
      </c>
      <c r="F50" s="55">
        <f t="shared" si="6"/>
        <v>95722.736807420602</v>
      </c>
      <c r="G50" s="56">
        <f t="shared" si="2"/>
        <v>3896644.9881479372</v>
      </c>
      <c r="H50" s="57">
        <f t="shared" si="2"/>
        <v>86851973.366814315</v>
      </c>
      <c r="I50" s="55">
        <f t="shared" si="7"/>
        <v>100.04724225839455</v>
      </c>
      <c r="J50" s="56">
        <f t="shared" si="3"/>
        <v>93775.387987756607</v>
      </c>
      <c r="K50" s="57">
        <f t="shared" si="3"/>
        <v>3853240.7036068034</v>
      </c>
    </row>
    <row r="51" spans="1:11" x14ac:dyDescent="0.15">
      <c r="A51" s="1">
        <f t="shared" si="4"/>
        <v>47</v>
      </c>
      <c r="B51" s="20">
        <v>1.1356000000000476E-3</v>
      </c>
      <c r="C51" s="5">
        <f t="shared" si="8"/>
        <v>97846.885032307691</v>
      </c>
      <c r="D51" s="51">
        <f t="shared" si="5"/>
        <v>111.11492264269327</v>
      </c>
      <c r="E51" s="54">
        <f t="shared" si="1"/>
        <v>0.97677971132065988</v>
      </c>
      <c r="F51" s="55">
        <f t="shared" si="6"/>
        <v>95574.8521154833</v>
      </c>
      <c r="G51" s="56">
        <f t="shared" si="2"/>
        <v>3800922.2513405168</v>
      </c>
      <c r="H51" s="57">
        <f t="shared" si="2"/>
        <v>82955328.378666371</v>
      </c>
      <c r="I51" s="55">
        <f t="shared" si="7"/>
        <v>108.48056178145667</v>
      </c>
      <c r="J51" s="56">
        <f t="shared" si="3"/>
        <v>93675.340745498208</v>
      </c>
      <c r="K51" s="57">
        <f t="shared" si="3"/>
        <v>3759465.3156190468</v>
      </c>
    </row>
    <row r="52" spans="1:11" x14ac:dyDescent="0.15">
      <c r="A52" s="1">
        <f t="shared" si="4"/>
        <v>48</v>
      </c>
      <c r="B52" s="20">
        <v>1.2355999999999979E-3</v>
      </c>
      <c r="C52" s="5">
        <f t="shared" si="8"/>
        <v>97735.770109664998</v>
      </c>
      <c r="D52" s="51">
        <f t="shared" si="5"/>
        <v>120.76231754750188</v>
      </c>
      <c r="E52" s="54">
        <f t="shared" si="1"/>
        <v>0.97629156553789109</v>
      </c>
      <c r="F52" s="55">
        <f t="shared" si="6"/>
        <v>95418.608009416261</v>
      </c>
      <c r="G52" s="56">
        <f t="shared" si="2"/>
        <v>3705347.3992250334</v>
      </c>
      <c r="H52" s="57">
        <f t="shared" si="2"/>
        <v>79154406.127325848</v>
      </c>
      <c r="I52" s="55">
        <f t="shared" si="7"/>
        <v>117.84031190048431</v>
      </c>
      <c r="J52" s="56">
        <f t="shared" si="3"/>
        <v>93566.860183716752</v>
      </c>
      <c r="K52" s="57">
        <f t="shared" si="3"/>
        <v>3665789.9748735484</v>
      </c>
    </row>
    <row r="53" spans="1:11" x14ac:dyDescent="0.15">
      <c r="A53" s="1">
        <f t="shared" si="4"/>
        <v>49</v>
      </c>
      <c r="B53" s="20">
        <v>1.350500000000058E-3</v>
      </c>
      <c r="C53" s="5">
        <f t="shared" si="8"/>
        <v>97615.007792117496</v>
      </c>
      <c r="D53" s="51">
        <f t="shared" si="5"/>
        <v>131.82906802326033</v>
      </c>
      <c r="E53" s="54">
        <f t="shared" si="1"/>
        <v>0.9758036637060381</v>
      </c>
      <c r="F53" s="55">
        <f t="shared" si="6"/>
        <v>95253.082236241709</v>
      </c>
      <c r="G53" s="56">
        <f t="shared" si="2"/>
        <v>3609928.7912156172</v>
      </c>
      <c r="H53" s="57">
        <f t="shared" si="2"/>
        <v>75449058.728100821</v>
      </c>
      <c r="I53" s="55">
        <f t="shared" si="7"/>
        <v>128.57500006001993</v>
      </c>
      <c r="J53" s="56">
        <f t="shared" si="3"/>
        <v>93449.019871816272</v>
      </c>
      <c r="K53" s="57">
        <f t="shared" si="3"/>
        <v>3572223.1146898316</v>
      </c>
    </row>
    <row r="54" spans="1:11" x14ac:dyDescent="0.15">
      <c r="A54" s="1">
        <f t="shared" si="4"/>
        <v>50</v>
      </c>
      <c r="B54" s="20">
        <v>1.4852000000000214E-3</v>
      </c>
      <c r="C54" s="5">
        <f t="shared" si="8"/>
        <v>97483.178724094236</v>
      </c>
      <c r="D54" s="51">
        <f t="shared" si="5"/>
        <v>144.78201704102685</v>
      </c>
      <c r="E54" s="54">
        <f t="shared" si="1"/>
        <v>0.97531600570318655</v>
      </c>
      <c r="F54" s="55">
        <f t="shared" si="6"/>
        <v>95076.904496433446</v>
      </c>
      <c r="G54" s="56">
        <f t="shared" si="2"/>
        <v>3514675.7089793757</v>
      </c>
      <c r="H54" s="57">
        <f t="shared" si="2"/>
        <v>71839129.936885208</v>
      </c>
      <c r="I54" s="55">
        <f t="shared" si="7"/>
        <v>141.13764973323836</v>
      </c>
      <c r="J54" s="56">
        <f t="shared" si="3"/>
        <v>93320.444871756248</v>
      </c>
      <c r="K54" s="57">
        <f t="shared" si="3"/>
        <v>3478774.0948180156</v>
      </c>
    </row>
    <row r="55" spans="1:11" x14ac:dyDescent="0.15">
      <c r="A55" s="1">
        <f t="shared" si="4"/>
        <v>51</v>
      </c>
      <c r="B55" s="20">
        <v>1.6441000000000105E-3</v>
      </c>
      <c r="C55" s="5">
        <f t="shared" si="8"/>
        <v>97338.396707053209</v>
      </c>
      <c r="D55" s="51">
        <f t="shared" si="5"/>
        <v>160.03405802606721</v>
      </c>
      <c r="E55" s="54">
        <f t="shared" si="1"/>
        <v>0.97482859140748268</v>
      </c>
      <c r="F55" s="55">
        <f t="shared" si="6"/>
        <v>94888.252151799432</v>
      </c>
      <c r="G55" s="56">
        <f t="shared" si="2"/>
        <v>3419598.804482942</v>
      </c>
      <c r="H55" s="57">
        <f t="shared" si="2"/>
        <v>68324454.227905825</v>
      </c>
      <c r="I55" s="55">
        <f t="shared" si="7"/>
        <v>155.92781145704595</v>
      </c>
      <c r="J55" s="56">
        <f t="shared" si="3"/>
        <v>93179.30722202301</v>
      </c>
      <c r="K55" s="57">
        <f t="shared" si="3"/>
        <v>3385453.6499462593</v>
      </c>
    </row>
    <row r="56" spans="1:11" x14ac:dyDescent="0.15">
      <c r="A56" s="1">
        <f t="shared" si="4"/>
        <v>52</v>
      </c>
      <c r="B56" s="20">
        <v>1.8297999999999826E-3</v>
      </c>
      <c r="C56" s="5">
        <f t="shared" si="8"/>
        <v>97178.362649027142</v>
      </c>
      <c r="D56" s="51">
        <f t="shared" si="5"/>
        <v>177.81696797518816</v>
      </c>
      <c r="E56" s="54">
        <f t="shared" si="1"/>
        <v>0.97434142069713425</v>
      </c>
      <c r="F56" s="55">
        <f t="shared" si="6"/>
        <v>94684.903924474434</v>
      </c>
      <c r="G56" s="56">
        <f t="shared" si="2"/>
        <v>3324710.5523311426</v>
      </c>
      <c r="H56" s="57">
        <f t="shared" si="2"/>
        <v>64904855.42342288</v>
      </c>
      <c r="I56" s="55">
        <f t="shared" si="7"/>
        <v>173.16785327436449</v>
      </c>
      <c r="J56" s="56">
        <f t="shared" si="3"/>
        <v>93023.379410565962</v>
      </c>
      <c r="K56" s="57">
        <f t="shared" si="3"/>
        <v>3292274.3427242362</v>
      </c>
    </row>
    <row r="57" spans="1:11" x14ac:dyDescent="0.15">
      <c r="A57" s="1">
        <f t="shared" si="4"/>
        <v>53</v>
      </c>
      <c r="B57" s="20">
        <v>2.0412999999999933E-3</v>
      </c>
      <c r="C57" s="5">
        <f t="shared" si="8"/>
        <v>97000.545681051954</v>
      </c>
      <c r="D57" s="51">
        <f t="shared" si="5"/>
        <v>198.0072138987307</v>
      </c>
      <c r="E57" s="54">
        <f t="shared" si="1"/>
        <v>0.97385449345040909</v>
      </c>
      <c r="F57" s="55">
        <f t="shared" si="6"/>
        <v>94464.417278634122</v>
      </c>
      <c r="G57" s="56">
        <f t="shared" si="2"/>
        <v>3230025.6484066681</v>
      </c>
      <c r="H57" s="57">
        <f t="shared" si="2"/>
        <v>61580144.871091738</v>
      </c>
      <c r="I57" s="55">
        <f t="shared" si="7"/>
        <v>192.7338480668418</v>
      </c>
      <c r="J57" s="56">
        <f t="shared" si="3"/>
        <v>92850.211557291594</v>
      </c>
      <c r="K57" s="57">
        <f t="shared" si="3"/>
        <v>3199250.9633136704</v>
      </c>
    </row>
    <row r="58" spans="1:11" x14ac:dyDescent="0.15">
      <c r="A58" s="1">
        <f t="shared" si="4"/>
        <v>54</v>
      </c>
      <c r="B58" s="20">
        <v>2.2740999999998944E-3</v>
      </c>
      <c r="C58" s="5">
        <f t="shared" si="8"/>
        <v>96802.538467153223</v>
      </c>
      <c r="D58" s="51">
        <f t="shared" si="5"/>
        <v>220.13865272814292</v>
      </c>
      <c r="E58" s="54">
        <f t="shared" si="1"/>
        <v>0.9733678095456364</v>
      </c>
      <c r="F58" s="55">
        <f t="shared" si="6"/>
        <v>94224.474826230144</v>
      </c>
      <c r="G58" s="56">
        <f t="shared" si="2"/>
        <v>3135561.2311280342</v>
      </c>
      <c r="H58" s="57">
        <f t="shared" si="2"/>
        <v>58350119.222685069</v>
      </c>
      <c r="I58" s="55">
        <f t="shared" si="7"/>
        <v>214.16879380541724</v>
      </c>
      <c r="J58" s="56">
        <f t="shared" si="3"/>
        <v>92657.477709224753</v>
      </c>
      <c r="K58" s="57">
        <f t="shared" si="3"/>
        <v>3106400.7517563789</v>
      </c>
    </row>
    <row r="59" spans="1:11" x14ac:dyDescent="0.15">
      <c r="A59" s="1">
        <f t="shared" si="4"/>
        <v>55</v>
      </c>
      <c r="B59" s="20">
        <v>2.5233000000000321E-3</v>
      </c>
      <c r="C59" s="5">
        <f t="shared" si="8"/>
        <v>96582.39981442508</v>
      </c>
      <c r="D59" s="51">
        <f t="shared" si="5"/>
        <v>243.70636945174192</v>
      </c>
      <c r="E59" s="54">
        <f t="shared" si="1"/>
        <v>0.97288136886120558</v>
      </c>
      <c r="F59" s="55">
        <f t="shared" si="6"/>
        <v>93963.217339358118</v>
      </c>
      <c r="G59" s="56">
        <f t="shared" si="2"/>
        <v>3041336.756301804</v>
      </c>
      <c r="H59" s="57">
        <f t="shared" si="2"/>
        <v>55214557.991557032</v>
      </c>
      <c r="I59" s="55">
        <f t="shared" si="7"/>
        <v>236.97889686397343</v>
      </c>
      <c r="J59" s="56">
        <f t="shared" si="3"/>
        <v>92443.308915419329</v>
      </c>
      <c r="K59" s="57">
        <f t="shared" si="3"/>
        <v>3013743.274047154</v>
      </c>
    </row>
    <row r="60" spans="1:11" x14ac:dyDescent="0.15">
      <c r="A60" s="1">
        <f t="shared" si="4"/>
        <v>56</v>
      </c>
      <c r="B60" s="20">
        <v>2.783399999999929E-3</v>
      </c>
      <c r="C60" s="5">
        <f t="shared" si="8"/>
        <v>96338.693444973338</v>
      </c>
      <c r="D60" s="51">
        <f t="shared" si="5"/>
        <v>268.14911933473195</v>
      </c>
      <c r="E60" s="54">
        <f t="shared" si="1"/>
        <v>0.97239517127556796</v>
      </c>
      <c r="F60" s="55">
        <f t="shared" si="6"/>
        <v>93679.280312889285</v>
      </c>
      <c r="G60" s="56">
        <f t="shared" si="2"/>
        <v>2947373.5389624457</v>
      </c>
      <c r="H60" s="57">
        <f t="shared" si="2"/>
        <v>52173221.235255226</v>
      </c>
      <c r="I60" s="55">
        <f t="shared" si="7"/>
        <v>260.61660052262806</v>
      </c>
      <c r="J60" s="56">
        <f t="shared" si="3"/>
        <v>92206.330018555353</v>
      </c>
      <c r="K60" s="57">
        <f t="shared" si="3"/>
        <v>2921299.9651317345</v>
      </c>
    </row>
    <row r="61" spans="1:11" x14ac:dyDescent="0.15">
      <c r="A61" s="1">
        <f t="shared" si="4"/>
        <v>57</v>
      </c>
      <c r="B61" s="20">
        <v>3.0476999999999358E-3</v>
      </c>
      <c r="C61" s="5">
        <f t="shared" si="8"/>
        <v>96070.544325638606</v>
      </c>
      <c r="D61" s="51">
        <f t="shared" si="5"/>
        <v>292.7941979412426</v>
      </c>
      <c r="E61" s="54">
        <f t="shared" si="1"/>
        <v>0.9719092166672344</v>
      </c>
      <c r="F61" s="55">
        <f t="shared" si="6"/>
        <v>93371.847480326236</v>
      </c>
      <c r="G61" s="56">
        <f t="shared" si="2"/>
        <v>2853694.2586495564</v>
      </c>
      <c r="H61" s="57">
        <f t="shared" si="2"/>
        <v>49225847.69629278</v>
      </c>
      <c r="I61" s="55">
        <f t="shared" si="7"/>
        <v>284.42716598279287</v>
      </c>
      <c r="J61" s="56">
        <f t="shared" si="3"/>
        <v>91945.713418032727</v>
      </c>
      <c r="K61" s="57">
        <f t="shared" si="3"/>
        <v>2829093.6351131792</v>
      </c>
    </row>
    <row r="62" spans="1:11" x14ac:dyDescent="0.15">
      <c r="A62" s="1">
        <f t="shared" si="4"/>
        <v>58</v>
      </c>
      <c r="B62" s="20">
        <v>3.3077999999999021E-3</v>
      </c>
      <c r="C62" s="5">
        <f t="shared" si="8"/>
        <v>95777.750127697363</v>
      </c>
      <c r="D62" s="51">
        <f t="shared" si="5"/>
        <v>316.81364187238796</v>
      </c>
      <c r="E62" s="54">
        <f t="shared" si="1"/>
        <v>0.97142350491477691</v>
      </c>
      <c r="F62" s="55">
        <f t="shared" si="6"/>
        <v>93040.757721899499</v>
      </c>
      <c r="G62" s="56">
        <f t="shared" si="2"/>
        <v>2760322.41116923</v>
      </c>
      <c r="H62" s="57">
        <f t="shared" si="2"/>
        <v>46372153.437643223</v>
      </c>
      <c r="I62" s="55">
        <f t="shared" si="7"/>
        <v>307.60641518489763</v>
      </c>
      <c r="J62" s="56">
        <f t="shared" si="3"/>
        <v>91661.286252049933</v>
      </c>
      <c r="K62" s="57">
        <f t="shared" si="3"/>
        <v>2737147.9216951467</v>
      </c>
    </row>
    <row r="63" spans="1:11" x14ac:dyDescent="0.15">
      <c r="A63" s="1">
        <f t="shared" si="4"/>
        <v>59</v>
      </c>
      <c r="B63" s="20">
        <v>3.5560999999998764E-3</v>
      </c>
      <c r="C63" s="5">
        <f t="shared" si="8"/>
        <v>95460.936485824976</v>
      </c>
      <c r="D63" s="51">
        <f t="shared" si="5"/>
        <v>339.46863623723038</v>
      </c>
      <c r="E63" s="54">
        <f t="shared" si="1"/>
        <v>0.97093803589682859</v>
      </c>
      <c r="F63" s="55">
        <f t="shared" si="6"/>
        <v>92686.6541764188</v>
      </c>
      <c r="G63" s="56">
        <f t="shared" si="2"/>
        <v>2667281.6534473305</v>
      </c>
      <c r="H63" s="57">
        <f t="shared" si="2"/>
        <v>43611831.026473992</v>
      </c>
      <c r="I63" s="55">
        <f t="shared" si="7"/>
        <v>329.43829177086604</v>
      </c>
      <c r="J63" s="56">
        <f t="shared" si="3"/>
        <v>91353.679836865034</v>
      </c>
      <c r="K63" s="57">
        <f t="shared" si="3"/>
        <v>2645486.635443097</v>
      </c>
    </row>
    <row r="64" spans="1:11" x14ac:dyDescent="0.15">
      <c r="A64" s="1">
        <f t="shared" si="4"/>
        <v>60</v>
      </c>
      <c r="B64" s="20">
        <v>3.7887000000000051E-3</v>
      </c>
      <c r="C64" s="5">
        <f t="shared" si="8"/>
        <v>95121.467849587745</v>
      </c>
      <c r="D64" s="51">
        <f t="shared" si="5"/>
        <v>360.38670524173358</v>
      </c>
      <c r="E64" s="54">
        <f t="shared" si="1"/>
        <v>0.97045280949208268</v>
      </c>
      <c r="F64" s="55">
        <f t="shared" si="6"/>
        <v>92310.895717643245</v>
      </c>
      <c r="G64" s="56">
        <f t="shared" si="2"/>
        <v>2574594.9992709118</v>
      </c>
      <c r="H64" s="57">
        <f t="shared" si="2"/>
        <v>40944549.373026662</v>
      </c>
      <c r="I64" s="55">
        <f t="shared" si="7"/>
        <v>349.56350885100989</v>
      </c>
      <c r="J64" s="56">
        <f t="shared" si="3"/>
        <v>91024.241545094163</v>
      </c>
      <c r="K64" s="57">
        <f t="shared" si="3"/>
        <v>2554132.9556062319</v>
      </c>
    </row>
    <row r="65" spans="1:11" x14ac:dyDescent="0.15">
      <c r="A65" s="1">
        <f t="shared" si="4"/>
        <v>61</v>
      </c>
      <c r="B65" s="20">
        <v>4.0089000000000227E-3</v>
      </c>
      <c r="C65" s="5">
        <f t="shared" si="8"/>
        <v>94761.081144346012</v>
      </c>
      <c r="D65" s="51">
        <f t="shared" si="5"/>
        <v>379.88769819957088</v>
      </c>
      <c r="E65" s="54">
        <f t="shared" si="1"/>
        <v>0.96996782557929295</v>
      </c>
      <c r="F65" s="55">
        <f t="shared" si="6"/>
        <v>91915.199827124234</v>
      </c>
      <c r="G65" s="56">
        <f t="shared" si="2"/>
        <v>2482284.1035532686</v>
      </c>
      <c r="H65" s="57">
        <f t="shared" si="2"/>
        <v>38369954.373755753</v>
      </c>
      <c r="I65" s="55">
        <f t="shared" si="7"/>
        <v>368.29469723834137</v>
      </c>
      <c r="J65" s="56">
        <f t="shared" si="3"/>
        <v>90674.678036243145</v>
      </c>
      <c r="K65" s="57">
        <f t="shared" si="3"/>
        <v>2463108.7140611378</v>
      </c>
    </row>
    <row r="66" spans="1:11" x14ac:dyDescent="0.15">
      <c r="A66" s="1">
        <f t="shared" si="4"/>
        <v>62</v>
      </c>
      <c r="B66" s="20">
        <v>4.2284999999999502E-3</v>
      </c>
      <c r="C66" s="5">
        <f t="shared" si="8"/>
        <v>94381.193446146441</v>
      </c>
      <c r="D66" s="51">
        <f t="shared" si="5"/>
        <v>399.09087648702553</v>
      </c>
      <c r="E66" s="54">
        <f t="shared" si="1"/>
        <v>0.96948308403727457</v>
      </c>
      <c r="F66" s="55">
        <f t="shared" si="6"/>
        <v>91500.970497288654</v>
      </c>
      <c r="G66" s="56">
        <f t="shared" si="2"/>
        <v>2390368.9037261442</v>
      </c>
      <c r="H66" s="57">
        <f t="shared" si="2"/>
        <v>35887670.270202488</v>
      </c>
      <c r="I66" s="55">
        <f t="shared" si="7"/>
        <v>386.71849450053014</v>
      </c>
      <c r="J66" s="56">
        <f t="shared" si="3"/>
        <v>90306.383339004809</v>
      </c>
      <c r="K66" s="57">
        <f t="shared" si="3"/>
        <v>2372434.0360248946</v>
      </c>
    </row>
    <row r="67" spans="1:11" x14ac:dyDescent="0.15">
      <c r="A67" s="1">
        <f t="shared" si="4"/>
        <v>63</v>
      </c>
      <c r="B67" s="20">
        <v>4.4636999999999845E-3</v>
      </c>
      <c r="C67" s="5">
        <f t="shared" si="8"/>
        <v>93982.102569659415</v>
      </c>
      <c r="D67" s="51">
        <f t="shared" si="5"/>
        <v>419.50791124018724</v>
      </c>
      <c r="E67" s="54">
        <f t="shared" si="1"/>
        <v>0.96899858474490186</v>
      </c>
      <c r="F67" s="55">
        <f t="shared" si="6"/>
        <v>91068.524381350173</v>
      </c>
      <c r="G67" s="56">
        <f t="shared" si="2"/>
        <v>2298867.9332288555</v>
      </c>
      <c r="H67" s="57">
        <f t="shared" si="2"/>
        <v>33497301.366476346</v>
      </c>
      <c r="I67" s="55">
        <f t="shared" si="7"/>
        <v>406.29942256974653</v>
      </c>
      <c r="J67" s="56">
        <f t="shared" si="3"/>
        <v>89919.664844504281</v>
      </c>
      <c r="K67" s="57">
        <f t="shared" si="3"/>
        <v>2282127.65268589</v>
      </c>
    </row>
    <row r="68" spans="1:11" x14ac:dyDescent="0.15">
      <c r="A68" s="1">
        <f t="shared" si="4"/>
        <v>64</v>
      </c>
      <c r="B68" s="20">
        <v>4.7299999999999764E-3</v>
      </c>
      <c r="C68" s="5">
        <f t="shared" si="8"/>
        <v>93562.594658419228</v>
      </c>
      <c r="D68" s="51">
        <f t="shared" si="5"/>
        <v>442.55107273432077</v>
      </c>
      <c r="E68" s="54">
        <f t="shared" ref="E68:E131" si="9">(1+$D$1)^(-$A68)</f>
        <v>0.96851432758111144</v>
      </c>
      <c r="F68" s="55">
        <f t="shared" si="6"/>
        <v>90616.713452342985</v>
      </c>
      <c r="G68" s="56">
        <f t="shared" ref="G68:H129" si="10">G69+F68</f>
        <v>2207799.4088475052</v>
      </c>
      <c r="H68" s="57">
        <f t="shared" si="10"/>
        <v>31198433.433247492</v>
      </c>
      <c r="I68" s="55">
        <f t="shared" si="7"/>
        <v>428.40285320297875</v>
      </c>
      <c r="J68" s="56">
        <f t="shared" ref="J68:K129" si="11">J69+I68</f>
        <v>89513.365421934534</v>
      </c>
      <c r="K68" s="57">
        <f t="shared" si="11"/>
        <v>2192207.9878413859</v>
      </c>
    </row>
    <row r="69" spans="1:11" x14ac:dyDescent="0.15">
      <c r="A69" s="1">
        <f t="shared" ref="A69:A131" si="12">1+A68</f>
        <v>65</v>
      </c>
      <c r="B69" s="20">
        <v>5.0398000000000309E-3</v>
      </c>
      <c r="C69" s="5">
        <f t="shared" si="8"/>
        <v>93120.043585684907</v>
      </c>
      <c r="D69" s="51">
        <f t="shared" ref="D69:D130" si="13">C69-C70</f>
        <v>469.30639566313766</v>
      </c>
      <c r="E69" s="54">
        <f t="shared" si="9"/>
        <v>0.96803031242489901</v>
      </c>
      <c r="F69" s="55">
        <f t="shared" ref="F69:F131" si="14">C69*E69</f>
        <v>90143.024885270774</v>
      </c>
      <c r="G69" s="56">
        <f t="shared" si="10"/>
        <v>2117182.6953951623</v>
      </c>
      <c r="H69" s="57">
        <f t="shared" si="10"/>
        <v>28990634.024399988</v>
      </c>
      <c r="I69" s="55">
        <f t="shared" ref="I69:I130" si="15">D69*E70</f>
        <v>454.07577892732678</v>
      </c>
      <c r="J69" s="56">
        <f t="shared" si="11"/>
        <v>89084.962568731557</v>
      </c>
      <c r="K69" s="57">
        <f t="shared" si="11"/>
        <v>2102694.6224194514</v>
      </c>
    </row>
    <row r="70" spans="1:11" x14ac:dyDescent="0.15">
      <c r="A70" s="1">
        <f t="shared" si="12"/>
        <v>66</v>
      </c>
      <c r="B70" s="20">
        <v>5.4032000000000906E-3</v>
      </c>
      <c r="C70" s="5">
        <f t="shared" ref="C70:C131" si="16">+C69*(1-$B69)</f>
        <v>92650.737190021769</v>
      </c>
      <c r="D70" s="51">
        <f t="shared" si="13"/>
        <v>500.61046318513399</v>
      </c>
      <c r="E70" s="54">
        <f t="shared" si="9"/>
        <v>0.96754653915532141</v>
      </c>
      <c r="F70" s="55">
        <f t="shared" si="14"/>
        <v>89643.900118394784</v>
      </c>
      <c r="G70" s="56">
        <f t="shared" si="10"/>
        <v>2027039.6705098916</v>
      </c>
      <c r="H70" s="57">
        <f t="shared" si="10"/>
        <v>26873451.329004824</v>
      </c>
      <c r="I70" s="55">
        <f t="shared" si="15"/>
        <v>484.1218601896241</v>
      </c>
      <c r="J70" s="56">
        <f t="shared" si="11"/>
        <v>88630.886789804223</v>
      </c>
      <c r="K70" s="57">
        <f t="shared" si="11"/>
        <v>2013609.6598507196</v>
      </c>
    </row>
    <row r="71" spans="1:11" x14ac:dyDescent="0.15">
      <c r="A71" s="1">
        <f t="shared" si="12"/>
        <v>67</v>
      </c>
      <c r="B71" s="20">
        <v>5.8288000000000168E-3</v>
      </c>
      <c r="C71" s="5">
        <f t="shared" si="16"/>
        <v>92150.126726836635</v>
      </c>
      <c r="D71" s="51">
        <f t="shared" si="13"/>
        <v>537.12465866538696</v>
      </c>
      <c r="E71" s="54">
        <f t="shared" si="9"/>
        <v>0.96706300765149578</v>
      </c>
      <c r="F71" s="55">
        <f t="shared" si="14"/>
        <v>89114.978707921124</v>
      </c>
      <c r="G71" s="56">
        <f t="shared" si="10"/>
        <v>1937395.7703914968</v>
      </c>
      <c r="H71" s="57">
        <f t="shared" si="10"/>
        <v>24846411.658494931</v>
      </c>
      <c r="I71" s="55">
        <f t="shared" si="15"/>
        <v>519.17380099223601</v>
      </c>
      <c r="J71" s="56">
        <f t="shared" si="11"/>
        <v>88146.764929614597</v>
      </c>
      <c r="K71" s="57">
        <f t="shared" si="11"/>
        <v>1924978.7730609153</v>
      </c>
    </row>
    <row r="72" spans="1:11" x14ac:dyDescent="0.15">
      <c r="A72" s="1">
        <f t="shared" si="12"/>
        <v>68</v>
      </c>
      <c r="B72" s="20">
        <v>6.3263999999999881E-3</v>
      </c>
      <c r="C72" s="5">
        <f t="shared" si="16"/>
        <v>91613.002068171249</v>
      </c>
      <c r="D72" s="51">
        <f t="shared" si="13"/>
        <v>579.58049628407753</v>
      </c>
      <c r="E72" s="54">
        <f t="shared" si="9"/>
        <v>0.96657971779259944</v>
      </c>
      <c r="F72" s="55">
        <f t="shared" si="14"/>
        <v>88551.269685185791</v>
      </c>
      <c r="G72" s="56">
        <f t="shared" si="10"/>
        <v>1848280.7916835756</v>
      </c>
      <c r="H72" s="57">
        <f t="shared" si="10"/>
        <v>22909015.888103433</v>
      </c>
      <c r="I72" s="55">
        <f t="shared" si="15"/>
        <v>559.93078714278704</v>
      </c>
      <c r="J72" s="56">
        <f t="shared" si="11"/>
        <v>87627.591128622356</v>
      </c>
      <c r="K72" s="57">
        <f t="shared" si="11"/>
        <v>1836832.0081313008</v>
      </c>
    </row>
    <row r="73" spans="1:11" x14ac:dyDescent="0.15">
      <c r="A73" s="1">
        <f t="shared" si="12"/>
        <v>69</v>
      </c>
      <c r="B73" s="20">
        <v>6.9088999999999574E-3</v>
      </c>
      <c r="C73" s="5">
        <f t="shared" si="16"/>
        <v>91033.421571887171</v>
      </c>
      <c r="D73" s="51">
        <f t="shared" si="13"/>
        <v>628.94080629800737</v>
      </c>
      <c r="E73" s="54">
        <f t="shared" si="9"/>
        <v>0.96609666945787054</v>
      </c>
      <c r="F73" s="55">
        <f t="shared" si="14"/>
        <v>87947.08538995446</v>
      </c>
      <c r="G73" s="56">
        <f t="shared" si="10"/>
        <v>1759729.5219983899</v>
      </c>
      <c r="H73" s="57">
        <f t="shared" si="10"/>
        <v>21060735.096419856</v>
      </c>
      <c r="I73" s="55">
        <f t="shared" si="15"/>
        <v>607.31396127001756</v>
      </c>
      <c r="J73" s="56">
        <f t="shared" si="11"/>
        <v>87067.660341479568</v>
      </c>
      <c r="K73" s="57">
        <f t="shared" si="11"/>
        <v>1749204.4170026784</v>
      </c>
    </row>
    <row r="74" spans="1:11" x14ac:dyDescent="0.15">
      <c r="A74" s="1">
        <f t="shared" si="12"/>
        <v>70</v>
      </c>
      <c r="B74" s="20">
        <v>7.5944999999998904E-3</v>
      </c>
      <c r="C74" s="5">
        <f t="shared" si="16"/>
        <v>90404.480765589164</v>
      </c>
      <c r="D74" s="51">
        <f t="shared" si="13"/>
        <v>686.576829174257</v>
      </c>
      <c r="E74" s="54">
        <f t="shared" si="9"/>
        <v>0.96561386252660719</v>
      </c>
      <c r="F74" s="55">
        <f t="shared" si="14"/>
        <v>87295.819861772921</v>
      </c>
      <c r="G74" s="56">
        <f t="shared" si="10"/>
        <v>1671782.4366084354</v>
      </c>
      <c r="H74" s="57">
        <f t="shared" si="10"/>
        <v>19301005.574421465</v>
      </c>
      <c r="I74" s="55">
        <f t="shared" si="15"/>
        <v>662.63678554745115</v>
      </c>
      <c r="J74" s="56">
        <f t="shared" si="11"/>
        <v>86460.34638020955</v>
      </c>
      <c r="K74" s="57">
        <f t="shared" si="11"/>
        <v>1662136.7566611988</v>
      </c>
    </row>
    <row r="75" spans="1:11" x14ac:dyDescent="0.15">
      <c r="A75" s="1">
        <f t="shared" si="12"/>
        <v>71</v>
      </c>
      <c r="B75" s="20">
        <v>8.4104999999999302E-3</v>
      </c>
      <c r="C75" s="5">
        <f t="shared" si="16"/>
        <v>89717.903936414907</v>
      </c>
      <c r="D75" s="51">
        <f t="shared" si="13"/>
        <v>754.57243105721136</v>
      </c>
      <c r="E75" s="54">
        <f t="shared" si="9"/>
        <v>0.96513129687816812</v>
      </c>
      <c r="F75" s="55">
        <f t="shared" si="14"/>
        <v>86589.556979343019</v>
      </c>
      <c r="G75" s="56">
        <f t="shared" si="10"/>
        <v>1584486.6167466624</v>
      </c>
      <c r="H75" s="57">
        <f t="shared" si="10"/>
        <v>17629223.137813032</v>
      </c>
      <c r="I75" s="55">
        <f t="shared" si="15"/>
        <v>727.89752021465119</v>
      </c>
      <c r="J75" s="56">
        <f t="shared" si="11"/>
        <v>85797.709594662098</v>
      </c>
      <c r="K75" s="57">
        <f t="shared" si="11"/>
        <v>1575676.4102809893</v>
      </c>
    </row>
    <row r="76" spans="1:11" x14ac:dyDescent="0.15">
      <c r="A76" s="1">
        <f t="shared" si="12"/>
        <v>72</v>
      </c>
      <c r="B76" s="20">
        <v>9.3938999999998787E-3</v>
      </c>
      <c r="C76" s="5">
        <f t="shared" si="16"/>
        <v>88963.331505357695</v>
      </c>
      <c r="D76" s="51">
        <f t="shared" si="13"/>
        <v>835.7126398281689</v>
      </c>
      <c r="E76" s="54">
        <f t="shared" si="9"/>
        <v>0.96464897239197223</v>
      </c>
      <c r="F76" s="55">
        <f t="shared" si="14"/>
        <v>85818.386317209675</v>
      </c>
      <c r="G76" s="56">
        <f t="shared" si="10"/>
        <v>1497897.0597673194</v>
      </c>
      <c r="H76" s="57">
        <f t="shared" si="10"/>
        <v>16044736.521066369</v>
      </c>
      <c r="I76" s="55">
        <f t="shared" si="15"/>
        <v>805.76645599722701</v>
      </c>
      <c r="J76" s="56">
        <f t="shared" si="11"/>
        <v>85069.812074447444</v>
      </c>
      <c r="K76" s="57">
        <f t="shared" si="11"/>
        <v>1489878.7006863272</v>
      </c>
    </row>
    <row r="77" spans="1:11" x14ac:dyDescent="0.15">
      <c r="A77" s="1">
        <f t="shared" si="12"/>
        <v>73</v>
      </c>
      <c r="B77" s="20">
        <v>1.0590399999999984E-2</v>
      </c>
      <c r="C77" s="5">
        <f t="shared" si="16"/>
        <v>88127.618865529526</v>
      </c>
      <c r="D77" s="51">
        <f t="shared" si="13"/>
        <v>933.30673483350256</v>
      </c>
      <c r="E77" s="54">
        <f t="shared" si="9"/>
        <v>0.96416688894749858</v>
      </c>
      <c r="F77" s="55">
        <f t="shared" si="14"/>
        <v>84969.73211192849</v>
      </c>
      <c r="G77" s="56">
        <f t="shared" si="10"/>
        <v>1412078.6734501098</v>
      </c>
      <c r="H77" s="57">
        <f t="shared" si="10"/>
        <v>14546839.461299051</v>
      </c>
      <c r="I77" s="55">
        <f t="shared" si="15"/>
        <v>899.41374408612285</v>
      </c>
      <c r="J77" s="56">
        <f t="shared" si="11"/>
        <v>84264.045618450211</v>
      </c>
      <c r="K77" s="57">
        <f t="shared" si="11"/>
        <v>1404808.8886118797</v>
      </c>
    </row>
    <row r="78" spans="1:11" x14ac:dyDescent="0.15">
      <c r="A78" s="1">
        <f t="shared" si="12"/>
        <v>74</v>
      </c>
      <c r="B78" s="20">
        <v>1.2052100000000024E-2</v>
      </c>
      <c r="C78" s="5">
        <f t="shared" si="16"/>
        <v>87194.312130696024</v>
      </c>
      <c r="D78" s="51">
        <f t="shared" si="13"/>
        <v>1050.8745692303637</v>
      </c>
      <c r="E78" s="54">
        <f t="shared" si="9"/>
        <v>0.96368504642428621</v>
      </c>
      <c r="F78" s="55">
        <f t="shared" si="14"/>
        <v>84027.854733603497</v>
      </c>
      <c r="G78" s="56">
        <f t="shared" si="10"/>
        <v>1327108.9413381813</v>
      </c>
      <c r="H78" s="57">
        <f t="shared" si="10"/>
        <v>13134760.78784894</v>
      </c>
      <c r="I78" s="55">
        <f t="shared" si="15"/>
        <v>1012.2060050323488</v>
      </c>
      <c r="J78" s="56">
        <f t="shared" si="11"/>
        <v>83364.631874364088</v>
      </c>
      <c r="K78" s="57">
        <f t="shared" si="11"/>
        <v>1320544.8429934294</v>
      </c>
    </row>
    <row r="79" spans="1:11" x14ac:dyDescent="0.15">
      <c r="A79" s="1">
        <f t="shared" si="12"/>
        <v>75</v>
      </c>
      <c r="B79" s="20">
        <v>1.3836099999999978E-2</v>
      </c>
      <c r="C79" s="5">
        <f t="shared" si="16"/>
        <v>86143.43756146566</v>
      </c>
      <c r="D79" s="51">
        <f t="shared" si="13"/>
        <v>1191.8892164441932</v>
      </c>
      <c r="E79" s="54">
        <f t="shared" si="9"/>
        <v>0.96320344470193542</v>
      </c>
      <c r="F79" s="55">
        <f t="shared" si="14"/>
        <v>82973.65579766981</v>
      </c>
      <c r="G79" s="56">
        <f t="shared" si="10"/>
        <v>1243081.0866045777</v>
      </c>
      <c r="H79" s="57">
        <f t="shared" si="10"/>
        <v>11807651.846510759</v>
      </c>
      <c r="I79" s="55">
        <f t="shared" si="15"/>
        <v>1147.4580699471637</v>
      </c>
      <c r="J79" s="56">
        <f t="shared" si="11"/>
        <v>82352.425869331739</v>
      </c>
      <c r="K79" s="57">
        <f t="shared" si="11"/>
        <v>1237180.2111190653</v>
      </c>
    </row>
    <row r="80" spans="1:11" x14ac:dyDescent="0.15">
      <c r="A80" s="1">
        <f t="shared" si="12"/>
        <v>76</v>
      </c>
      <c r="B80" s="20">
        <v>1.600230000000008E-2</v>
      </c>
      <c r="C80" s="5">
        <f t="shared" si="16"/>
        <v>84951.548345021467</v>
      </c>
      <c r="D80" s="51">
        <f t="shared" si="13"/>
        <v>1359.4201620815438</v>
      </c>
      <c r="E80" s="54">
        <f t="shared" si="9"/>
        <v>0.96272208366010525</v>
      </c>
      <c r="F80" s="55">
        <f t="shared" si="14"/>
        <v>81784.731632871233</v>
      </c>
      <c r="G80" s="56">
        <f t="shared" si="10"/>
        <v>1160107.4308069078</v>
      </c>
      <c r="H80" s="57">
        <f t="shared" si="10"/>
        <v>10564570.75990618</v>
      </c>
      <c r="I80" s="55">
        <f t="shared" si="15"/>
        <v>1308.0897661256392</v>
      </c>
      <c r="J80" s="56">
        <f t="shared" si="11"/>
        <v>81204.967799384569</v>
      </c>
      <c r="K80" s="57">
        <f t="shared" si="11"/>
        <v>1154827.7852497336</v>
      </c>
    </row>
    <row r="81" spans="1:11" x14ac:dyDescent="0.15">
      <c r="A81" s="1">
        <f t="shared" si="12"/>
        <v>77</v>
      </c>
      <c r="B81" s="20">
        <v>1.86114E-2</v>
      </c>
      <c r="C81" s="5">
        <f t="shared" si="16"/>
        <v>83592.128182939923</v>
      </c>
      <c r="D81" s="51">
        <f t="shared" si="13"/>
        <v>1555.7665344639681</v>
      </c>
      <c r="E81" s="54">
        <f t="shared" si="9"/>
        <v>0.96224096317851615</v>
      </c>
      <c r="F81" s="55">
        <f t="shared" si="14"/>
        <v>80435.769936894096</v>
      </c>
      <c r="G81" s="56">
        <f t="shared" si="10"/>
        <v>1078322.6991740365</v>
      </c>
      <c r="H81" s="57">
        <f t="shared" si="10"/>
        <v>9404463.3290992733</v>
      </c>
      <c r="I81" s="55">
        <f t="shared" si="15"/>
        <v>1496.2741515277473</v>
      </c>
      <c r="J81" s="56">
        <f t="shared" si="11"/>
        <v>79896.878033258923</v>
      </c>
      <c r="K81" s="57">
        <f t="shared" si="11"/>
        <v>1073622.817450349</v>
      </c>
    </row>
    <row r="82" spans="1:11" x14ac:dyDescent="0.15">
      <c r="A82" s="1">
        <f t="shared" si="12"/>
        <v>78</v>
      </c>
      <c r="B82" s="20">
        <v>2.1722099999999932E-2</v>
      </c>
      <c r="C82" s="5">
        <f t="shared" si="16"/>
        <v>82036.361648475955</v>
      </c>
      <c r="D82" s="51">
        <f t="shared" si="13"/>
        <v>1782.002051364354</v>
      </c>
      <c r="E82" s="54">
        <f t="shared" si="9"/>
        <v>0.96176008313694794</v>
      </c>
      <c r="F82" s="55">
        <f t="shared" si="14"/>
        <v>78899.297999290968</v>
      </c>
      <c r="G82" s="56">
        <f t="shared" si="10"/>
        <v>997886.92923714244</v>
      </c>
      <c r="H82" s="57">
        <f t="shared" si="10"/>
        <v>8326140.6299252361</v>
      </c>
      <c r="I82" s="55">
        <f t="shared" si="15"/>
        <v>1713.0019401003422</v>
      </c>
      <c r="J82" s="56">
        <f t="shared" si="11"/>
        <v>78400.603881731178</v>
      </c>
      <c r="K82" s="57">
        <f t="shared" si="11"/>
        <v>993725.93941709003</v>
      </c>
    </row>
    <row r="83" spans="1:11" x14ac:dyDescent="0.15">
      <c r="A83" s="1">
        <f t="shared" si="12"/>
        <v>79</v>
      </c>
      <c r="B83" s="20">
        <v>2.5388900000000044E-2</v>
      </c>
      <c r="C83" s="5">
        <f t="shared" si="16"/>
        <v>80254.359597111601</v>
      </c>
      <c r="D83" s="51">
        <f t="shared" si="13"/>
        <v>2037.5699103751103</v>
      </c>
      <c r="E83" s="54">
        <f t="shared" si="9"/>
        <v>0.96127944341524008</v>
      </c>
      <c r="F83" s="55">
        <f t="shared" si="14"/>
        <v>77146.866125157976</v>
      </c>
      <c r="G83" s="56">
        <f t="shared" si="10"/>
        <v>918987.63123785146</v>
      </c>
      <c r="H83" s="57">
        <f t="shared" si="10"/>
        <v>7328253.7006880939</v>
      </c>
      <c r="I83" s="55">
        <f t="shared" si="15"/>
        <v>1957.6952217541495</v>
      </c>
      <c r="J83" s="56">
        <f t="shared" si="11"/>
        <v>76687.601941630841</v>
      </c>
      <c r="K83" s="57">
        <f t="shared" si="11"/>
        <v>915325.33553535887</v>
      </c>
    </row>
    <row r="84" spans="1:11" x14ac:dyDescent="0.15">
      <c r="A84" s="1">
        <f t="shared" si="12"/>
        <v>80</v>
      </c>
      <c r="B84" s="20">
        <v>2.9660199999999953E-2</v>
      </c>
      <c r="C84" s="5">
        <f t="shared" si="16"/>
        <v>78216.789686736491</v>
      </c>
      <c r="D84" s="51">
        <f t="shared" si="13"/>
        <v>2319.9256254665379</v>
      </c>
      <c r="E84" s="54">
        <f t="shared" si="9"/>
        <v>0.9607990438932934</v>
      </c>
      <c r="F84" s="55">
        <f t="shared" si="14"/>
        <v>75150.616747419233</v>
      </c>
      <c r="G84" s="56">
        <f t="shared" si="10"/>
        <v>841840.76511269342</v>
      </c>
      <c r="H84" s="57">
        <f t="shared" si="10"/>
        <v>6409266.0694502424</v>
      </c>
      <c r="I84" s="55">
        <f t="shared" si="15"/>
        <v>2227.8683886574718</v>
      </c>
      <c r="J84" s="56">
        <f t="shared" si="11"/>
        <v>74729.906719876686</v>
      </c>
      <c r="K84" s="57">
        <f t="shared" si="11"/>
        <v>838637.73359372804</v>
      </c>
    </row>
    <row r="85" spans="1:11" x14ac:dyDescent="0.15">
      <c r="A85" s="1">
        <f t="shared" si="12"/>
        <v>81</v>
      </c>
      <c r="B85" s="20">
        <v>3.4579400000000017E-2</v>
      </c>
      <c r="C85" s="5">
        <f t="shared" si="16"/>
        <v>75896.864061269953</v>
      </c>
      <c r="D85" s="51">
        <f t="shared" si="13"/>
        <v>2624.4680211202794</v>
      </c>
      <c r="E85" s="54">
        <f t="shared" si="9"/>
        <v>0.96031888445106794</v>
      </c>
      <c r="F85" s="55">
        <f t="shared" si="14"/>
        <v>72885.191828653114</v>
      </c>
      <c r="G85" s="56">
        <f t="shared" si="10"/>
        <v>766690.14836527419</v>
      </c>
      <c r="H85" s="57">
        <f t="shared" si="10"/>
        <v>5567425.304337549</v>
      </c>
      <c r="I85" s="55">
        <f t="shared" si="15"/>
        <v>2519.0666689852355</v>
      </c>
      <c r="J85" s="56">
        <f t="shared" si="11"/>
        <v>72502.038331219213</v>
      </c>
      <c r="K85" s="57">
        <f t="shared" si="11"/>
        <v>763907.82687385136</v>
      </c>
    </row>
    <row r="86" spans="1:11" x14ac:dyDescent="0.15">
      <c r="A86" s="1">
        <f t="shared" si="12"/>
        <v>82</v>
      </c>
      <c r="B86" s="20">
        <v>4.0185599999999974E-2</v>
      </c>
      <c r="C86" s="5">
        <f t="shared" si="16"/>
        <v>73272.396040149673</v>
      </c>
      <c r="D86" s="51">
        <f t="shared" si="13"/>
        <v>2944.4951983110368</v>
      </c>
      <c r="E86" s="54">
        <f t="shared" si="9"/>
        <v>0.95983896496858356</v>
      </c>
      <c r="F86" s="55">
        <f t="shared" si="14"/>
        <v>70329.700775945399</v>
      </c>
      <c r="G86" s="56">
        <f t="shared" si="10"/>
        <v>693804.95653662109</v>
      </c>
      <c r="H86" s="57">
        <f t="shared" si="10"/>
        <v>4800735.155972275</v>
      </c>
      <c r="I86" s="55">
        <f t="shared" si="15"/>
        <v>2824.8288090972815</v>
      </c>
      <c r="J86" s="56">
        <f t="shared" si="11"/>
        <v>69982.971662233977</v>
      </c>
      <c r="K86" s="57">
        <f t="shared" si="11"/>
        <v>691405.78854263213</v>
      </c>
    </row>
    <row r="87" spans="1:11" x14ac:dyDescent="0.15">
      <c r="A87" s="1">
        <f t="shared" si="12"/>
        <v>83</v>
      </c>
      <c r="B87" s="20">
        <v>4.6515299999999933E-2</v>
      </c>
      <c r="C87" s="5">
        <f t="shared" si="16"/>
        <v>70327.900841838637</v>
      </c>
      <c r="D87" s="51">
        <f t="shared" si="13"/>
        <v>3271.3234060283721</v>
      </c>
      <c r="E87" s="54">
        <f t="shared" si="9"/>
        <v>0.95935928532592074</v>
      </c>
      <c r="F87" s="55">
        <f t="shared" si="14"/>
        <v>67469.724690098534</v>
      </c>
      <c r="G87" s="56">
        <f t="shared" si="10"/>
        <v>623475.25576067565</v>
      </c>
      <c r="H87" s="57">
        <f t="shared" si="10"/>
        <v>4106930.1994356541</v>
      </c>
      <c r="I87" s="55">
        <f t="shared" si="15"/>
        <v>3136.8060818364179</v>
      </c>
      <c r="J87" s="56">
        <f t="shared" si="11"/>
        <v>67158.142853136698</v>
      </c>
      <c r="K87" s="57">
        <f t="shared" si="11"/>
        <v>621422.8168803982</v>
      </c>
    </row>
    <row r="88" spans="1:11" x14ac:dyDescent="0.15">
      <c r="A88" s="1">
        <f t="shared" si="12"/>
        <v>84</v>
      </c>
      <c r="B88" s="20">
        <v>5.3603199999999976E-2</v>
      </c>
      <c r="C88" s="5">
        <f t="shared" si="16"/>
        <v>67056.577435810264</v>
      </c>
      <c r="D88" s="51">
        <f t="shared" si="13"/>
        <v>3594.4471316072231</v>
      </c>
      <c r="E88" s="54">
        <f t="shared" si="9"/>
        <v>0.95887984540321924</v>
      </c>
      <c r="F88" s="55">
        <f t="shared" si="14"/>
        <v>64299.200604918748</v>
      </c>
      <c r="G88" s="56">
        <f t="shared" si="10"/>
        <v>556005.5310705771</v>
      </c>
      <c r="H88" s="57">
        <f t="shared" si="10"/>
        <v>3483454.9436749783</v>
      </c>
      <c r="I88" s="55">
        <f t="shared" si="15"/>
        <v>3444.9204496407588</v>
      </c>
      <c r="J88" s="56">
        <f t="shared" si="11"/>
        <v>64021.336771300281</v>
      </c>
      <c r="K88" s="57">
        <f t="shared" si="11"/>
        <v>554264.67402726144</v>
      </c>
    </row>
    <row r="89" spans="1:11" x14ac:dyDescent="0.15">
      <c r="A89" s="1">
        <f t="shared" si="12"/>
        <v>85</v>
      </c>
      <c r="B89" s="20">
        <v>6.1484599999999945E-2</v>
      </c>
      <c r="C89" s="5">
        <f t="shared" si="16"/>
        <v>63462.130304203041</v>
      </c>
      <c r="D89" s="51">
        <f t="shared" si="13"/>
        <v>3901.9436969017988</v>
      </c>
      <c r="E89" s="54">
        <f t="shared" si="9"/>
        <v>0.9584006450806789</v>
      </c>
      <c r="F89" s="55">
        <f t="shared" si="14"/>
        <v>60822.146621742293</v>
      </c>
      <c r="G89" s="56">
        <f t="shared" si="10"/>
        <v>491706.33046565839</v>
      </c>
      <c r="H89" s="57">
        <f t="shared" si="10"/>
        <v>2927449.4126044014</v>
      </c>
      <c r="I89" s="55">
        <f t="shared" si="15"/>
        <v>3737.7564779402037</v>
      </c>
      <c r="J89" s="56">
        <f t="shared" si="11"/>
        <v>60576.416321659519</v>
      </c>
      <c r="K89" s="57">
        <f t="shared" si="11"/>
        <v>490243.33725596115</v>
      </c>
    </row>
    <row r="90" spans="1:11" x14ac:dyDescent="0.15">
      <c r="A90" s="1">
        <f t="shared" si="12"/>
        <v>86</v>
      </c>
      <c r="B90" s="20">
        <v>7.019719999999996E-2</v>
      </c>
      <c r="C90" s="5">
        <f t="shared" si="16"/>
        <v>59560.186607301242</v>
      </c>
      <c r="D90" s="51">
        <f t="shared" si="13"/>
        <v>4180.9583313100447</v>
      </c>
      <c r="E90" s="54">
        <f t="shared" si="9"/>
        <v>0.95792168423855983</v>
      </c>
      <c r="F90" s="55">
        <f t="shared" si="14"/>
        <v>57053.99426842892</v>
      </c>
      <c r="G90" s="56">
        <f t="shared" si="10"/>
        <v>430884.18384391611</v>
      </c>
      <c r="H90" s="57">
        <f t="shared" si="10"/>
        <v>2435743.0821387428</v>
      </c>
      <c r="I90" s="55">
        <f t="shared" si="15"/>
        <v>4003.0291318938089</v>
      </c>
      <c r="J90" s="56">
        <f t="shared" si="11"/>
        <v>56838.659843719317</v>
      </c>
      <c r="K90" s="57">
        <f t="shared" si="11"/>
        <v>429666.92093430163</v>
      </c>
    </row>
    <row r="91" spans="1:11" x14ac:dyDescent="0.15">
      <c r="A91" s="1">
        <f t="shared" si="12"/>
        <v>87</v>
      </c>
      <c r="B91" s="20">
        <v>7.9782699999999929E-2</v>
      </c>
      <c r="C91" s="5">
        <f t="shared" si="16"/>
        <v>55379.228275991198</v>
      </c>
      <c r="D91" s="51">
        <f t="shared" si="13"/>
        <v>4418.3043557749188</v>
      </c>
      <c r="E91" s="54">
        <f t="shared" si="9"/>
        <v>0.95744296275718099</v>
      </c>
      <c r="F91" s="55">
        <f t="shared" si="14"/>
        <v>53022.452395771266</v>
      </c>
      <c r="G91" s="56">
        <f t="shared" si="10"/>
        <v>373830.18957548717</v>
      </c>
      <c r="H91" s="57">
        <f t="shared" si="10"/>
        <v>2004858.8982948265</v>
      </c>
      <c r="I91" s="55">
        <f t="shared" si="15"/>
        <v>4228.1603325898013</v>
      </c>
      <c r="J91" s="56">
        <f t="shared" si="11"/>
        <v>52835.630711825506</v>
      </c>
      <c r="K91" s="57">
        <f t="shared" si="11"/>
        <v>372828.26109058229</v>
      </c>
    </row>
    <row r="92" spans="1:11" x14ac:dyDescent="0.15">
      <c r="A92" s="1">
        <f t="shared" si="12"/>
        <v>88</v>
      </c>
      <c r="B92" s="20">
        <v>9.0285799999999944E-2</v>
      </c>
      <c r="C92" s="5">
        <f t="shared" si="16"/>
        <v>50960.923920216279</v>
      </c>
      <c r="D92" s="51">
        <f t="shared" si="13"/>
        <v>4601.0477848758601</v>
      </c>
      <c r="E92" s="54">
        <f t="shared" si="9"/>
        <v>0.95696448051692251</v>
      </c>
      <c r="F92" s="55">
        <f t="shared" si="14"/>
        <v>48767.794085972178</v>
      </c>
      <c r="G92" s="56">
        <f t="shared" si="10"/>
        <v>320807.73717971588</v>
      </c>
      <c r="H92" s="57">
        <f t="shared" si="10"/>
        <v>1631028.7087193395</v>
      </c>
      <c r="I92" s="55">
        <f t="shared" si="15"/>
        <v>4400.8388838453429</v>
      </c>
      <c r="J92" s="56">
        <f t="shared" si="11"/>
        <v>48607.470379235703</v>
      </c>
      <c r="K92" s="57">
        <f t="shared" si="11"/>
        <v>319992.63037875679</v>
      </c>
    </row>
    <row r="93" spans="1:11" x14ac:dyDescent="0.15">
      <c r="A93" s="1">
        <f t="shared" si="12"/>
        <v>89</v>
      </c>
      <c r="B93" s="20">
        <v>0.10175380000000007</v>
      </c>
      <c r="C93" s="5">
        <f t="shared" si="16"/>
        <v>46359.876135340419</v>
      </c>
      <c r="D93" s="51">
        <f t="shared" si="13"/>
        <v>4717.2935643002056</v>
      </c>
      <c r="E93" s="54">
        <f t="shared" si="9"/>
        <v>0.95648623739822358</v>
      </c>
      <c r="F93" s="55">
        <f t="shared" si="14"/>
        <v>44342.583490939454</v>
      </c>
      <c r="G93" s="56">
        <f t="shared" si="10"/>
        <v>272039.9430937437</v>
      </c>
      <c r="H93" s="57">
        <f t="shared" si="10"/>
        <v>1310220.9715396236</v>
      </c>
      <c r="I93" s="55">
        <f t="shared" si="15"/>
        <v>4509.77148627722</v>
      </c>
      <c r="J93" s="56">
        <f t="shared" si="11"/>
        <v>44206.631495390357</v>
      </c>
      <c r="K93" s="57">
        <f t="shared" si="11"/>
        <v>271385.1599995211</v>
      </c>
    </row>
    <row r="94" spans="1:11" x14ac:dyDescent="0.15">
      <c r="A94" s="1">
        <f t="shared" si="12"/>
        <v>90</v>
      </c>
      <c r="B94" s="20">
        <v>0.1142358</v>
      </c>
      <c r="C94" s="5">
        <f t="shared" si="16"/>
        <v>41642.582571040213</v>
      </c>
      <c r="D94" s="51">
        <f t="shared" si="13"/>
        <v>4757.0737340688356</v>
      </c>
      <c r="E94" s="54">
        <f t="shared" si="9"/>
        <v>0.95600823328158269</v>
      </c>
      <c r="F94" s="55">
        <f t="shared" si="14"/>
        <v>39810.651793022582</v>
      </c>
      <c r="G94" s="56">
        <f t="shared" si="10"/>
        <v>227697.35960280427</v>
      </c>
      <c r="H94" s="57">
        <f t="shared" si="10"/>
        <v>1038181.0284458799</v>
      </c>
      <c r="I94" s="55">
        <f t="shared" si="15"/>
        <v>4545.5288916515428</v>
      </c>
      <c r="J94" s="56">
        <f t="shared" si="11"/>
        <v>39696.860009113137</v>
      </c>
      <c r="K94" s="57">
        <f t="shared" si="11"/>
        <v>227178.52850413072</v>
      </c>
    </row>
    <row r="95" spans="1:11" x14ac:dyDescent="0.15">
      <c r="A95" s="1">
        <f t="shared" si="12"/>
        <v>91</v>
      </c>
      <c r="B95" s="20">
        <v>0.12778250000000008</v>
      </c>
      <c r="C95" s="5">
        <f t="shared" si="16"/>
        <v>36885.508836971378</v>
      </c>
      <c r="D95" s="51">
        <f t="shared" si="13"/>
        <v>4713.322532960301</v>
      </c>
      <c r="E95" s="54">
        <f t="shared" si="9"/>
        <v>0.95553046804755881</v>
      </c>
      <c r="F95" s="55">
        <f t="shared" si="14"/>
        <v>35245.22752316363</v>
      </c>
      <c r="G95" s="56">
        <f t="shared" si="10"/>
        <v>187886.70780978168</v>
      </c>
      <c r="H95" s="57">
        <f t="shared" si="10"/>
        <v>810483.66884307563</v>
      </c>
      <c r="I95" s="55">
        <f t="shared" si="15"/>
        <v>4501.4725497038107</v>
      </c>
      <c r="J95" s="56">
        <f t="shared" si="11"/>
        <v>35151.331117461596</v>
      </c>
      <c r="K95" s="57">
        <f t="shared" si="11"/>
        <v>187481.66849501757</v>
      </c>
    </row>
    <row r="96" spans="1:11" x14ac:dyDescent="0.15">
      <c r="A96" s="1">
        <f t="shared" si="12"/>
        <v>92</v>
      </c>
      <c r="B96" s="20">
        <v>0.14244590000000007</v>
      </c>
      <c r="C96" s="5">
        <f t="shared" si="16"/>
        <v>32172.186304011077</v>
      </c>
      <c r="D96" s="51">
        <f t="shared" si="13"/>
        <v>4582.7960330425303</v>
      </c>
      <c r="E96" s="54">
        <f t="shared" si="9"/>
        <v>0.95505294157677056</v>
      </c>
      <c r="F96" s="55">
        <f t="shared" si="14"/>
        <v>30726.141166601668</v>
      </c>
      <c r="G96" s="56">
        <f t="shared" si="10"/>
        <v>152641.48028661805</v>
      </c>
      <c r="H96" s="57">
        <f t="shared" si="10"/>
        <v>622596.96103329398</v>
      </c>
      <c r="I96" s="55">
        <f t="shared" si="15"/>
        <v>4374.6255192440021</v>
      </c>
      <c r="J96" s="56">
        <f t="shared" si="11"/>
        <v>30649.858567757787</v>
      </c>
      <c r="K96" s="57">
        <f t="shared" si="11"/>
        <v>152330.33737755596</v>
      </c>
    </row>
    <row r="97" spans="1:11" x14ac:dyDescent="0.15">
      <c r="A97" s="1">
        <f t="shared" si="12"/>
        <v>93</v>
      </c>
      <c r="B97" s="20">
        <v>0.15827889999999994</v>
      </c>
      <c r="C97" s="5">
        <f t="shared" si="16"/>
        <v>27589.390270968546</v>
      </c>
      <c r="D97" s="51">
        <f t="shared" si="13"/>
        <v>4366.8183437596017</v>
      </c>
      <c r="E97" s="54">
        <f t="shared" si="9"/>
        <v>0.95457565374989573</v>
      </c>
      <c r="F97" s="55">
        <f t="shared" si="14"/>
        <v>26336.160254470811</v>
      </c>
      <c r="G97" s="56">
        <f t="shared" si="10"/>
        <v>121915.33912001639</v>
      </c>
      <c r="H97" s="57">
        <f t="shared" si="10"/>
        <v>469955.48074667586</v>
      </c>
      <c r="I97" s="55">
        <f t="shared" si="15"/>
        <v>4166.3752876575309</v>
      </c>
      <c r="J97" s="56">
        <f t="shared" si="11"/>
        <v>26275.233048513786</v>
      </c>
      <c r="K97" s="57">
        <f t="shared" si="11"/>
        <v>121680.47880979817</v>
      </c>
    </row>
    <row r="98" spans="1:11" x14ac:dyDescent="0.15">
      <c r="A98" s="1">
        <f t="shared" si="12"/>
        <v>94</v>
      </c>
      <c r="B98" s="20">
        <v>0.17533440000000006</v>
      </c>
      <c r="C98" s="5">
        <f t="shared" si="16"/>
        <v>23222.571927208945</v>
      </c>
      <c r="D98" s="51">
        <f t="shared" si="13"/>
        <v>4071.7157153140251</v>
      </c>
      <c r="E98" s="54">
        <f t="shared" si="9"/>
        <v>0.95409860444767214</v>
      </c>
      <c r="F98" s="55">
        <f t="shared" si="14"/>
        <v>22156.623467435744</v>
      </c>
      <c r="G98" s="56">
        <f t="shared" si="10"/>
        <v>95579.178865545575</v>
      </c>
      <c r="H98" s="57">
        <f t="shared" si="10"/>
        <v>348040.14162665949</v>
      </c>
      <c r="I98" s="55">
        <f t="shared" si="15"/>
        <v>3882.8768432671318</v>
      </c>
      <c r="J98" s="56">
        <f t="shared" si="11"/>
        <v>22108.857760856255</v>
      </c>
      <c r="K98" s="57">
        <f t="shared" si="11"/>
        <v>95405.245761284372</v>
      </c>
    </row>
    <row r="99" spans="1:11" x14ac:dyDescent="0.15">
      <c r="A99" s="1">
        <f t="shared" si="12"/>
        <v>95</v>
      </c>
      <c r="B99" s="20">
        <v>0.19366459999999996</v>
      </c>
      <c r="C99" s="5">
        <f t="shared" si="16"/>
        <v>19150.856211894919</v>
      </c>
      <c r="D99" s="51">
        <f t="shared" si="13"/>
        <v>3708.842907934144</v>
      </c>
      <c r="E99" s="54">
        <f t="shared" si="9"/>
        <v>0.95362179355089638</v>
      </c>
      <c r="F99" s="55">
        <f t="shared" si="14"/>
        <v>18262.67384882256</v>
      </c>
      <c r="G99" s="56">
        <f t="shared" si="10"/>
        <v>73422.555398109835</v>
      </c>
      <c r="H99" s="57">
        <f t="shared" si="10"/>
        <v>252460.96276111391</v>
      </c>
      <c r="I99" s="55">
        <f t="shared" si="15"/>
        <v>3535.0658929162232</v>
      </c>
      <c r="J99" s="56">
        <f t="shared" si="11"/>
        <v>18225.980917589124</v>
      </c>
      <c r="K99" s="57">
        <f t="shared" si="11"/>
        <v>73296.388000428124</v>
      </c>
    </row>
    <row r="100" spans="1:11" x14ac:dyDescent="0.15">
      <c r="A100" s="1">
        <f t="shared" si="12"/>
        <v>96</v>
      </c>
      <c r="B100" s="20">
        <v>0.21332039999999991</v>
      </c>
      <c r="C100" s="5">
        <f t="shared" si="16"/>
        <v>15442.013303960775</v>
      </c>
      <c r="D100" s="51">
        <f t="shared" si="13"/>
        <v>3294.0964548062329</v>
      </c>
      <c r="E100" s="54">
        <f t="shared" si="9"/>
        <v>0.95314522094042642</v>
      </c>
      <c r="F100" s="55">
        <f t="shared" si="14"/>
        <v>14718.481182368698</v>
      </c>
      <c r="G100" s="56">
        <f t="shared" si="10"/>
        <v>55159.881549287267</v>
      </c>
      <c r="H100" s="57">
        <f t="shared" si="10"/>
        <v>179038.40736300408</v>
      </c>
      <c r="I100" s="55">
        <f t="shared" si="15"/>
        <v>3138.1832016145545</v>
      </c>
      <c r="J100" s="56">
        <f t="shared" si="11"/>
        <v>14690.915024672902</v>
      </c>
      <c r="K100" s="57">
        <f t="shared" si="11"/>
        <v>55070.407082838996</v>
      </c>
    </row>
    <row r="101" spans="1:11" x14ac:dyDescent="0.15">
      <c r="A101" s="1">
        <f t="shared" si="12"/>
        <v>97</v>
      </c>
      <c r="B101" s="20">
        <v>0.23435110000000009</v>
      </c>
      <c r="C101" s="5">
        <f t="shared" si="16"/>
        <v>12147.916849154542</v>
      </c>
      <c r="D101" s="51">
        <f t="shared" si="13"/>
        <v>2846.8776763079022</v>
      </c>
      <c r="E101" s="54">
        <f t="shared" si="9"/>
        <v>0.95266888649717774</v>
      </c>
      <c r="F101" s="55">
        <f t="shared" si="14"/>
        <v>11572.942417944361</v>
      </c>
      <c r="G101" s="56">
        <f t="shared" si="10"/>
        <v>40441.400366918569</v>
      </c>
      <c r="H101" s="57">
        <f t="shared" si="10"/>
        <v>123878.52581371681</v>
      </c>
      <c r="I101" s="55">
        <f t="shared" si="15"/>
        <v>2710.7763976830811</v>
      </c>
      <c r="J101" s="56">
        <f t="shared" si="11"/>
        <v>11552.731823058348</v>
      </c>
      <c r="K101" s="57">
        <f t="shared" si="11"/>
        <v>40379.492058166092</v>
      </c>
    </row>
    <row r="102" spans="1:11" x14ac:dyDescent="0.15">
      <c r="A102" s="1">
        <f t="shared" si="12"/>
        <v>98</v>
      </c>
      <c r="B102" s="20">
        <v>0.25680360000000002</v>
      </c>
      <c r="C102" s="5">
        <f t="shared" si="16"/>
        <v>9301.0391728466402</v>
      </c>
      <c r="D102" s="51">
        <f t="shared" si="13"/>
        <v>2388.5403433280399</v>
      </c>
      <c r="E102" s="54">
        <f t="shared" si="9"/>
        <v>0.95219279010212687</v>
      </c>
      <c r="F102" s="55">
        <f t="shared" si="14"/>
        <v>8856.3824408420205</v>
      </c>
      <c r="G102" s="56">
        <f t="shared" si="10"/>
        <v>28868.45794897421</v>
      </c>
      <c r="H102" s="57">
        <f t="shared" si="10"/>
        <v>83437.125446798251</v>
      </c>
      <c r="I102" s="55">
        <f t="shared" si="15"/>
        <v>2273.2142866416975</v>
      </c>
      <c r="J102" s="56">
        <f t="shared" si="11"/>
        <v>8841.9554253752667</v>
      </c>
      <c r="K102" s="57">
        <f t="shared" si="11"/>
        <v>28826.760235107744</v>
      </c>
    </row>
    <row r="103" spans="1:11" x14ac:dyDescent="0.15">
      <c r="A103" s="1">
        <f t="shared" si="12"/>
        <v>99</v>
      </c>
      <c r="B103" s="20">
        <v>0.28072219999999998</v>
      </c>
      <c r="C103" s="5">
        <f t="shared" si="16"/>
        <v>6912.4988295186004</v>
      </c>
      <c r="D103" s="51">
        <f t="shared" si="13"/>
        <v>1940.4918789198864</v>
      </c>
      <c r="E103" s="54">
        <f t="shared" si="9"/>
        <v>0.95171693163630866</v>
      </c>
      <c r="F103" s="55">
        <f t="shared" si="14"/>
        <v>6578.7421759690178</v>
      </c>
      <c r="G103" s="56">
        <f t="shared" si="10"/>
        <v>20012.075508132191</v>
      </c>
      <c r="H103" s="57">
        <f t="shared" si="10"/>
        <v>54568.667497824041</v>
      </c>
      <c r="I103" s="55">
        <f t="shared" si="15"/>
        <v>1845.876038851384</v>
      </c>
      <c r="J103" s="56">
        <f t="shared" si="11"/>
        <v>6568.7411387335687</v>
      </c>
      <c r="K103" s="57">
        <f t="shared" si="11"/>
        <v>19984.804809732479</v>
      </c>
    </row>
    <row r="104" spans="1:11" x14ac:dyDescent="0.15">
      <c r="A104" s="1">
        <f t="shared" si="12"/>
        <v>100</v>
      </c>
      <c r="B104" s="20">
        <v>0.30614809999999992</v>
      </c>
      <c r="C104" s="5">
        <f t="shared" si="16"/>
        <v>4972.006950598714</v>
      </c>
      <c r="D104" s="51">
        <f t="shared" si="13"/>
        <v>1522.1704811125896</v>
      </c>
      <c r="E104" s="54">
        <f t="shared" si="9"/>
        <v>0.95124131098081821</v>
      </c>
      <c r="F104" s="55">
        <f t="shared" si="14"/>
        <v>4729.5784098932609</v>
      </c>
      <c r="G104" s="56">
        <f t="shared" si="10"/>
        <v>13433.333332163173</v>
      </c>
      <c r="H104" s="57">
        <f t="shared" si="10"/>
        <v>34556.591989691849</v>
      </c>
      <c r="I104" s="55">
        <f t="shared" si="15"/>
        <v>1447.2278300748051</v>
      </c>
      <c r="J104" s="56">
        <f t="shared" si="11"/>
        <v>4722.8650998821849</v>
      </c>
      <c r="K104" s="57">
        <f t="shared" si="11"/>
        <v>13416.06367099891</v>
      </c>
    </row>
    <row r="105" spans="1:11" x14ac:dyDescent="0.15">
      <c r="A105" s="1">
        <f t="shared" si="12"/>
        <v>101</v>
      </c>
      <c r="B105" s="20">
        <v>0.3331191</v>
      </c>
      <c r="C105" s="5">
        <f t="shared" si="16"/>
        <v>3449.8364694861243</v>
      </c>
      <c r="D105" s="51">
        <f t="shared" si="13"/>
        <v>1149.2064198623953</v>
      </c>
      <c r="E105" s="54">
        <f t="shared" si="9"/>
        <v>0.95076592801680981</v>
      </c>
      <c r="F105" s="55">
        <f t="shared" si="14"/>
        <v>3279.9869724172099</v>
      </c>
      <c r="G105" s="56">
        <f t="shared" si="10"/>
        <v>8703.7549222699108</v>
      </c>
      <c r="H105" s="57">
        <f t="shared" si="10"/>
        <v>21123.258657528677</v>
      </c>
      <c r="I105" s="55">
        <f t="shared" si="15"/>
        <v>1092.0802681292812</v>
      </c>
      <c r="J105" s="56">
        <f t="shared" si="11"/>
        <v>3275.6372698073801</v>
      </c>
      <c r="K105" s="57">
        <f t="shared" si="11"/>
        <v>8693.1985711167254</v>
      </c>
    </row>
    <row r="106" spans="1:11" x14ac:dyDescent="0.15">
      <c r="A106" s="1">
        <f t="shared" si="12"/>
        <v>102</v>
      </c>
      <c r="B106" s="20">
        <v>0.36166920000000002</v>
      </c>
      <c r="C106" s="5">
        <f t="shared" si="16"/>
        <v>2300.6300496237291</v>
      </c>
      <c r="D106" s="51">
        <f t="shared" si="13"/>
        <v>832.06702954337447</v>
      </c>
      <c r="E106" s="54">
        <f t="shared" si="9"/>
        <v>0.95029078262549715</v>
      </c>
      <c r="F106" s="55">
        <f t="shared" si="14"/>
        <v>2186.2675303886699</v>
      </c>
      <c r="G106" s="56">
        <f t="shared" si="10"/>
        <v>5423.7679498527013</v>
      </c>
      <c r="H106" s="57">
        <f t="shared" si="10"/>
        <v>12419.503735258768</v>
      </c>
      <c r="I106" s="55">
        <f t="shared" si="15"/>
        <v>790.31047346491357</v>
      </c>
      <c r="J106" s="56">
        <f t="shared" si="11"/>
        <v>2183.5570016780989</v>
      </c>
      <c r="K106" s="57">
        <f t="shared" si="11"/>
        <v>5417.5613013093443</v>
      </c>
    </row>
    <row r="107" spans="1:11" x14ac:dyDescent="0.15">
      <c r="A107" s="1">
        <f t="shared" si="12"/>
        <v>103</v>
      </c>
      <c r="B107" s="20">
        <v>0.39182899999999993</v>
      </c>
      <c r="C107" s="5">
        <f t="shared" si="16"/>
        <v>1468.5630200803546</v>
      </c>
      <c r="D107" s="51">
        <f t="shared" si="13"/>
        <v>575.42557959506519</v>
      </c>
      <c r="E107" s="54">
        <f t="shared" si="9"/>
        <v>0.94981587468815309</v>
      </c>
      <c r="F107" s="55">
        <f t="shared" si="14"/>
        <v>1394.8644694522977</v>
      </c>
      <c r="G107" s="56">
        <f t="shared" si="10"/>
        <v>3237.5004194640319</v>
      </c>
      <c r="H107" s="57">
        <f t="shared" si="10"/>
        <v>6995.7357854060656</v>
      </c>
      <c r="I107" s="55">
        <f t="shared" si="15"/>
        <v>546.27521259472701</v>
      </c>
      <c r="J107" s="56">
        <f t="shared" si="11"/>
        <v>1393.2465282131852</v>
      </c>
      <c r="K107" s="57">
        <f t="shared" si="11"/>
        <v>3234.004299631245</v>
      </c>
    </row>
    <row r="108" spans="1:11" x14ac:dyDescent="0.15">
      <c r="A108" s="1">
        <f t="shared" si="12"/>
        <v>104</v>
      </c>
      <c r="B108" s="20">
        <v>0.42362539999999987</v>
      </c>
      <c r="C108" s="5">
        <f t="shared" si="16"/>
        <v>893.1374404852894</v>
      </c>
      <c r="D108" s="51">
        <f t="shared" si="13"/>
        <v>378.35570548055682</v>
      </c>
      <c r="E108" s="54">
        <f t="shared" si="9"/>
        <v>0.94934120408611011</v>
      </c>
      <c r="F108" s="55">
        <f t="shared" si="14"/>
        <v>847.89217316469114</v>
      </c>
      <c r="G108" s="56">
        <f t="shared" si="10"/>
        <v>1842.6359500117342</v>
      </c>
      <c r="H108" s="57">
        <f t="shared" si="10"/>
        <v>3758.2353659420337</v>
      </c>
      <c r="I108" s="55">
        <f t="shared" si="15"/>
        <v>359.00915643554367</v>
      </c>
      <c r="J108" s="56">
        <f t="shared" si="11"/>
        <v>846.97131561845833</v>
      </c>
      <c r="K108" s="57">
        <f t="shared" si="11"/>
        <v>1840.7577714180597</v>
      </c>
    </row>
    <row r="109" spans="1:11" x14ac:dyDescent="0.15">
      <c r="A109" s="1">
        <f t="shared" si="12"/>
        <v>105</v>
      </c>
      <c r="B109" s="20">
        <v>0.45708160000000003</v>
      </c>
      <c r="C109" s="5">
        <f t="shared" si="16"/>
        <v>514.78173500473258</v>
      </c>
      <c r="D109" s="51">
        <f t="shared" si="13"/>
        <v>235.29725908673919</v>
      </c>
      <c r="E109" s="54">
        <f t="shared" si="9"/>
        <v>0.94886677070075964</v>
      </c>
      <c r="F109" s="55">
        <f t="shared" si="14"/>
        <v>488.45928250967478</v>
      </c>
      <c r="G109" s="56">
        <f t="shared" si="10"/>
        <v>994.74377684704302</v>
      </c>
      <c r="H109" s="57">
        <f t="shared" si="10"/>
        <v>1915.5994159302995</v>
      </c>
      <c r="I109" s="55">
        <f t="shared" si="15"/>
        <v>223.15417329772535</v>
      </c>
      <c r="J109" s="56">
        <f t="shared" si="11"/>
        <v>487.96215918291466</v>
      </c>
      <c r="K109" s="57">
        <f t="shared" si="11"/>
        <v>993.78645579960153</v>
      </c>
    </row>
    <row r="110" spans="1:11" x14ac:dyDescent="0.15">
      <c r="A110" s="1">
        <f t="shared" si="12"/>
        <v>106</v>
      </c>
      <c r="B110" s="20">
        <v>0.49221759999999998</v>
      </c>
      <c r="C110" s="5">
        <f t="shared" si="16"/>
        <v>279.48447591799339</v>
      </c>
      <c r="D110" s="51">
        <f t="shared" si="13"/>
        <v>137.5671779736125</v>
      </c>
      <c r="E110" s="54">
        <f t="shared" si="9"/>
        <v>0.94839257441355296</v>
      </c>
      <c r="F110" s="55">
        <f t="shared" si="14"/>
        <v>265.06100162448843</v>
      </c>
      <c r="G110" s="56">
        <f t="shared" si="10"/>
        <v>506.28449433736824</v>
      </c>
      <c r="H110" s="57">
        <f t="shared" si="10"/>
        <v>920.85563908325639</v>
      </c>
      <c r="I110" s="55">
        <f t="shared" si="15"/>
        <v>130.40248882878737</v>
      </c>
      <c r="J110" s="56">
        <f t="shared" si="11"/>
        <v>264.80798588518934</v>
      </c>
      <c r="K110" s="57">
        <f t="shared" si="11"/>
        <v>505.82429661668692</v>
      </c>
    </row>
    <row r="111" spans="1:11" x14ac:dyDescent="0.15">
      <c r="A111" s="1">
        <f t="shared" si="12"/>
        <v>107</v>
      </c>
      <c r="B111" s="20">
        <v>0.52905009999999997</v>
      </c>
      <c r="C111" s="5">
        <f t="shared" si="16"/>
        <v>141.91729794438089</v>
      </c>
      <c r="D111" s="51">
        <f t="shared" si="13"/>
        <v>75.0813606692045</v>
      </c>
      <c r="E111" s="54">
        <f t="shared" si="9"/>
        <v>0.94791861510599995</v>
      </c>
      <c r="F111" s="55">
        <f t="shared" si="14"/>
        <v>134.52604852702311</v>
      </c>
      <c r="G111" s="56">
        <f t="shared" si="10"/>
        <v>241.22349271287982</v>
      </c>
      <c r="H111" s="57">
        <f t="shared" si="10"/>
        <v>414.5711447458882</v>
      </c>
      <c r="I111" s="55">
        <f t="shared" si="15"/>
        <v>71.135451699976414</v>
      </c>
      <c r="J111" s="56">
        <f t="shared" si="11"/>
        <v>134.40549705640197</v>
      </c>
      <c r="K111" s="57">
        <f t="shared" si="11"/>
        <v>241.01631073149758</v>
      </c>
    </row>
    <row r="112" spans="1:11" x14ac:dyDescent="0.15">
      <c r="A112" s="1">
        <f t="shared" si="12"/>
        <v>108</v>
      </c>
      <c r="B112" s="20">
        <v>0.56759280000000001</v>
      </c>
      <c r="C112" s="5">
        <f t="shared" si="16"/>
        <v>66.835937275176391</v>
      </c>
      <c r="D112" s="51">
        <f t="shared" si="13"/>
        <v>37.935596778641738</v>
      </c>
      <c r="E112" s="54">
        <f t="shared" si="9"/>
        <v>0.94744489265966991</v>
      </c>
      <c r="F112" s="55">
        <f t="shared" si="14"/>
        <v>63.32336741748793</v>
      </c>
      <c r="G112" s="56">
        <f t="shared" si="10"/>
        <v>106.69744418585671</v>
      </c>
      <c r="H112" s="57">
        <f t="shared" si="10"/>
        <v>173.34765203300842</v>
      </c>
      <c r="I112" s="55">
        <f t="shared" si="15"/>
        <v>35.92392545519315</v>
      </c>
      <c r="J112" s="56">
        <f t="shared" si="11"/>
        <v>63.270045356425548</v>
      </c>
      <c r="K112" s="57">
        <f t="shared" si="11"/>
        <v>106.61081367509561</v>
      </c>
    </row>
    <row r="113" spans="1:12" x14ac:dyDescent="0.15">
      <c r="A113" s="1">
        <f t="shared" si="12"/>
        <v>109</v>
      </c>
      <c r="B113" s="20">
        <v>0.60785700000000009</v>
      </c>
      <c r="C113" s="5">
        <f t="shared" si="16"/>
        <v>28.900340496534653</v>
      </c>
      <c r="D113" s="51">
        <f t="shared" si="13"/>
        <v>17.567274273202067</v>
      </c>
      <c r="E113" s="54">
        <f t="shared" si="9"/>
        <v>0.94697140695619197</v>
      </c>
      <c r="F113" s="55">
        <f t="shared" si="14"/>
        <v>27.367796101516433</v>
      </c>
      <c r="G113" s="56">
        <f t="shared" si="10"/>
        <v>43.374076768368788</v>
      </c>
      <c r="H113" s="57">
        <f t="shared" si="10"/>
        <v>66.650207847151705</v>
      </c>
      <c r="I113" s="55">
        <f t="shared" si="15"/>
        <v>16.627392738510228</v>
      </c>
      <c r="J113" s="56">
        <f t="shared" si="11"/>
        <v>27.346119901232399</v>
      </c>
      <c r="K113" s="57">
        <f t="shared" si="11"/>
        <v>43.340768318670065</v>
      </c>
    </row>
    <row r="114" spans="1:12" x14ac:dyDescent="0.15">
      <c r="A114" s="1">
        <f t="shared" si="12"/>
        <v>110</v>
      </c>
      <c r="B114" s="20">
        <v>0.64985150000000003</v>
      </c>
      <c r="C114" s="5">
        <f t="shared" si="16"/>
        <v>11.333066223332587</v>
      </c>
      <c r="D114" s="51">
        <f t="shared" si="13"/>
        <v>7.3648100848320173</v>
      </c>
      <c r="E114" s="54">
        <f t="shared" si="9"/>
        <v>0.94649815787725367</v>
      </c>
      <c r="F114" s="55">
        <f t="shared" si="14"/>
        <v>10.726726303485218</v>
      </c>
      <c r="G114" s="56">
        <f t="shared" si="10"/>
        <v>16.006280666852355</v>
      </c>
      <c r="H114" s="57">
        <f t="shared" si="10"/>
        <v>23.27613107878291</v>
      </c>
      <c r="I114" s="55">
        <f t="shared" si="15"/>
        <v>6.9672955306439999</v>
      </c>
      <c r="J114" s="56">
        <f t="shared" si="11"/>
        <v>10.718727162722169</v>
      </c>
      <c r="K114" s="57">
        <f t="shared" si="11"/>
        <v>15.994648417437668</v>
      </c>
    </row>
    <row r="115" spans="1:12" x14ac:dyDescent="0.15">
      <c r="A115" s="1">
        <f t="shared" si="12"/>
        <v>111</v>
      </c>
      <c r="B115" s="20">
        <v>0.69358310000000001</v>
      </c>
      <c r="C115" s="5">
        <f t="shared" si="16"/>
        <v>3.9682561385005699</v>
      </c>
      <c r="D115" s="51">
        <f t="shared" si="13"/>
        <v>2.7523153941352545</v>
      </c>
      <c r="E115" s="54">
        <f t="shared" si="9"/>
        <v>0.94602514530460102</v>
      </c>
      <c r="F115" s="55">
        <f t="shared" si="14"/>
        <v>3.7540700900308765</v>
      </c>
      <c r="G115" s="56">
        <f t="shared" si="10"/>
        <v>5.2795543633671365</v>
      </c>
      <c r="H115" s="57">
        <f t="shared" si="10"/>
        <v>7.2698504119305571</v>
      </c>
      <c r="I115" s="55">
        <f t="shared" si="15"/>
        <v>2.6024583414901499</v>
      </c>
      <c r="J115" s="56">
        <f t="shared" si="11"/>
        <v>3.75143163207817</v>
      </c>
      <c r="K115" s="57">
        <f t="shared" si="11"/>
        <v>5.2759212547154988</v>
      </c>
    </row>
    <row r="116" spans="1:12" x14ac:dyDescent="0.15">
      <c r="A116" s="1">
        <f t="shared" si="12"/>
        <v>112</v>
      </c>
      <c r="B116" s="20">
        <v>0.73905670000000001</v>
      </c>
      <c r="C116" s="5">
        <f t="shared" si="16"/>
        <v>1.2159407443653152</v>
      </c>
      <c r="D116" s="51">
        <f t="shared" si="13"/>
        <v>0.89864915392617339</v>
      </c>
      <c r="E116" s="54">
        <f t="shared" si="9"/>
        <v>0.94555236912004115</v>
      </c>
      <c r="F116" s="55">
        <f t="shared" si="14"/>
        <v>1.1497356515442101</v>
      </c>
      <c r="G116" s="56">
        <f t="shared" si="10"/>
        <v>1.5254842733362604</v>
      </c>
      <c r="H116" s="57">
        <f t="shared" si="10"/>
        <v>1.9902960485634207</v>
      </c>
      <c r="I116" s="55">
        <f t="shared" si="15"/>
        <v>0.84929518890815969</v>
      </c>
      <c r="J116" s="56">
        <f t="shared" si="11"/>
        <v>1.1489732905880201</v>
      </c>
      <c r="K116" s="57">
        <f t="shared" si="11"/>
        <v>1.5244896226373283</v>
      </c>
    </row>
    <row r="117" spans="1:12" x14ac:dyDescent="0.15">
      <c r="A117" s="1">
        <f t="shared" si="12"/>
        <v>113</v>
      </c>
      <c r="B117" s="20">
        <v>0.78627579999999997</v>
      </c>
      <c r="C117" s="5">
        <f t="shared" si="16"/>
        <v>0.31729159043914174</v>
      </c>
      <c r="D117" s="51">
        <f t="shared" si="13"/>
        <v>0.2494786991058085</v>
      </c>
      <c r="E117" s="54">
        <f t="shared" si="9"/>
        <v>0.94507982920543843</v>
      </c>
      <c r="F117" s="55">
        <f t="shared" si="14"/>
        <v>0.29986588210054599</v>
      </c>
      <c r="G117" s="56">
        <f t="shared" si="10"/>
        <v>0.37574862179205037</v>
      </c>
      <c r="H117" s="57">
        <f t="shared" si="10"/>
        <v>0.46481177522716038</v>
      </c>
      <c r="I117" s="55">
        <f t="shared" si="15"/>
        <v>0.23565945661300602</v>
      </c>
      <c r="J117" s="56">
        <f t="shared" si="11"/>
        <v>0.29967810167986036</v>
      </c>
      <c r="K117" s="57">
        <f t="shared" si="11"/>
        <v>0.37551633204930823</v>
      </c>
    </row>
    <row r="118" spans="1:12" x14ac:dyDescent="0.15">
      <c r="A118" s="1">
        <f t="shared" si="12"/>
        <v>114</v>
      </c>
      <c r="B118" s="20">
        <v>0.8352427</v>
      </c>
      <c r="C118" s="5">
        <f t="shared" si="16"/>
        <v>6.7812891333333222E-2</v>
      </c>
      <c r="D118" s="51">
        <f t="shared" si="13"/>
        <v>5.6640222452059838E-2</v>
      </c>
      <c r="E118" s="54">
        <f t="shared" si="9"/>
        <v>0.94460752544271731</v>
      </c>
      <c r="F118" s="55">
        <f t="shared" si="14"/>
        <v>6.405656747549579E-2</v>
      </c>
      <c r="G118" s="56">
        <f t="shared" si="10"/>
        <v>7.5882739691504386E-2</v>
      </c>
      <c r="H118" s="57">
        <f t="shared" si="10"/>
        <v>8.9063153435109996E-2</v>
      </c>
      <c r="I118" s="55">
        <f t="shared" si="15"/>
        <v>5.3476042349790372E-2</v>
      </c>
      <c r="J118" s="56">
        <f t="shared" si="11"/>
        <v>6.4018645066854341E-2</v>
      </c>
      <c r="K118" s="57">
        <f t="shared" si="11"/>
        <v>7.583823036944784E-2</v>
      </c>
    </row>
    <row r="119" spans="1:12" x14ac:dyDescent="0.15">
      <c r="A119" s="1">
        <f t="shared" si="12"/>
        <v>115</v>
      </c>
      <c r="B119" s="20">
        <v>0.88595840000000003</v>
      </c>
      <c r="C119" s="5">
        <f t="shared" si="16"/>
        <v>1.1172668881273381E-2</v>
      </c>
      <c r="D119" s="51">
        <f t="shared" si="13"/>
        <v>9.8985198457827543E-3</v>
      </c>
      <c r="E119" s="54">
        <f t="shared" si="9"/>
        <v>0.94413545771386009</v>
      </c>
      <c r="F119" s="55">
        <f t="shared" si="14"/>
        <v>1.0548512848106444E-2</v>
      </c>
      <c r="G119" s="56">
        <f t="shared" si="10"/>
        <v>1.1826172216008589E-2</v>
      </c>
      <c r="H119" s="57">
        <f t="shared" si="10"/>
        <v>1.3180413743605604E-2</v>
      </c>
      <c r="I119" s="55">
        <f t="shared" si="15"/>
        <v>9.3408731287234689E-3</v>
      </c>
      <c r="J119" s="56">
        <f t="shared" si="11"/>
        <v>1.0542602717063964E-2</v>
      </c>
      <c r="K119" s="57">
        <f t="shared" si="11"/>
        <v>1.1819585302593498E-2</v>
      </c>
    </row>
    <row r="120" spans="1:12" x14ac:dyDescent="0.15">
      <c r="A120" s="1">
        <f t="shared" si="12"/>
        <v>116</v>
      </c>
      <c r="B120" s="20">
        <v>0.93842369999999997</v>
      </c>
      <c r="C120" s="5">
        <f t="shared" si="16"/>
        <v>1.2741490354906261E-3</v>
      </c>
      <c r="D120" s="51">
        <f t="shared" si="13"/>
        <v>1.1956916522365445E-3</v>
      </c>
      <c r="E120" s="54">
        <f t="shared" si="9"/>
        <v>0.9436636259009098</v>
      </c>
      <c r="F120" s="55">
        <f t="shared" si="14"/>
        <v>1.2023680987692312E-3</v>
      </c>
      <c r="G120" s="56">
        <f t="shared" si="10"/>
        <v>1.2776593679021454E-3</v>
      </c>
      <c r="H120" s="57">
        <f t="shared" si="10"/>
        <v>1.3542415275970155E-3</v>
      </c>
      <c r="I120" s="55">
        <f t="shared" si="15"/>
        <v>1.1277668365906922E-3</v>
      </c>
      <c r="J120" s="56">
        <f t="shared" si="11"/>
        <v>1.2017295883404947E-3</v>
      </c>
      <c r="K120" s="57">
        <f t="shared" si="11"/>
        <v>1.2769825855295334E-3</v>
      </c>
    </row>
    <row r="121" spans="1:12" x14ac:dyDescent="0.15">
      <c r="A121" s="1">
        <f t="shared" si="12"/>
        <v>117</v>
      </c>
      <c r="B121" s="20">
        <v>0.98254689999999989</v>
      </c>
      <c r="C121" s="5">
        <f t="shared" si="16"/>
        <v>7.8457383254081477E-5</v>
      </c>
      <c r="D121" s="51">
        <f t="shared" si="13"/>
        <v>7.7088058698409663E-5</v>
      </c>
      <c r="E121" s="54">
        <f t="shared" si="9"/>
        <v>0.94319202988596695</v>
      </c>
      <c r="F121" s="55">
        <f t="shared" si="14"/>
        <v>7.4000378570958378E-5</v>
      </c>
      <c r="G121" s="56">
        <f t="shared" si="10"/>
        <v>7.5291269132914205E-5</v>
      </c>
      <c r="H121" s="57">
        <f t="shared" si="10"/>
        <v>7.6582159694870032E-5</v>
      </c>
      <c r="I121" s="55">
        <f t="shared" si="15"/>
        <v>7.2672506310566306E-5</v>
      </c>
      <c r="J121" s="56">
        <f t="shared" si="11"/>
        <v>7.3962751749802512E-5</v>
      </c>
      <c r="K121" s="57">
        <f t="shared" si="11"/>
        <v>7.5252997189038717E-5</v>
      </c>
    </row>
    <row r="122" spans="1:12" x14ac:dyDescent="0.15">
      <c r="A122" s="7">
        <f t="shared" si="12"/>
        <v>118</v>
      </c>
      <c r="B122" s="21">
        <v>1</v>
      </c>
      <c r="C122" s="8">
        <f t="shared" si="16"/>
        <v>1.369324555671818E-6</v>
      </c>
      <c r="D122" s="52">
        <f t="shared" si="13"/>
        <v>1.369324555671818E-6</v>
      </c>
      <c r="E122" s="58">
        <f t="shared" si="9"/>
        <v>0.94272066955119149</v>
      </c>
      <c r="F122" s="59">
        <f t="shared" si="14"/>
        <v>1.2908905619558241E-6</v>
      </c>
      <c r="G122" s="60">
        <f t="shared" si="10"/>
        <v>1.2908905619558241E-6</v>
      </c>
      <c r="H122" s="61">
        <f t="shared" si="10"/>
        <v>1.2908905619558241E-6</v>
      </c>
      <c r="I122" s="59">
        <f t="shared" si="15"/>
        <v>1.2902454392362056E-6</v>
      </c>
      <c r="J122" s="60">
        <f t="shared" si="11"/>
        <v>1.2902454392362056E-6</v>
      </c>
      <c r="K122" s="61">
        <f t="shared" si="11"/>
        <v>1.2902454392362056E-6</v>
      </c>
    </row>
    <row r="123" spans="1:12" x14ac:dyDescent="0.15">
      <c r="A123" s="1">
        <f t="shared" si="12"/>
        <v>119</v>
      </c>
      <c r="B123" s="20">
        <v>1</v>
      </c>
      <c r="C123" s="5">
        <f t="shared" si="16"/>
        <v>0</v>
      </c>
      <c r="D123" s="51">
        <f t="shared" si="13"/>
        <v>0</v>
      </c>
      <c r="E123" s="54">
        <f t="shared" si="9"/>
        <v>0.94224954477880185</v>
      </c>
      <c r="F123" s="55">
        <f t="shared" si="14"/>
        <v>0</v>
      </c>
      <c r="G123" s="56">
        <f t="shared" si="10"/>
        <v>0</v>
      </c>
      <c r="H123" s="57">
        <f t="shared" si="10"/>
        <v>0</v>
      </c>
      <c r="I123" s="55">
        <f t="shared" si="15"/>
        <v>0</v>
      </c>
      <c r="J123" s="56">
        <f t="shared" si="11"/>
        <v>0</v>
      </c>
      <c r="K123" s="57">
        <f t="shared" si="11"/>
        <v>0</v>
      </c>
    </row>
    <row r="124" spans="1:12" x14ac:dyDescent="0.15">
      <c r="A124" s="1">
        <f t="shared" si="12"/>
        <v>120</v>
      </c>
      <c r="B124" s="20">
        <v>1</v>
      </c>
      <c r="C124" s="5">
        <f t="shared" si="16"/>
        <v>0</v>
      </c>
      <c r="D124" s="51">
        <f t="shared" si="13"/>
        <v>0</v>
      </c>
      <c r="E124" s="54">
        <f t="shared" si="9"/>
        <v>0.94177865545107642</v>
      </c>
      <c r="F124" s="55">
        <f t="shared" si="14"/>
        <v>0</v>
      </c>
      <c r="G124" s="56">
        <f t="shared" si="10"/>
        <v>0</v>
      </c>
      <c r="H124" s="57">
        <f t="shared" si="10"/>
        <v>0</v>
      </c>
      <c r="I124" s="55">
        <f t="shared" si="15"/>
        <v>0</v>
      </c>
      <c r="J124" s="56">
        <f t="shared" si="11"/>
        <v>0</v>
      </c>
      <c r="K124" s="57">
        <f t="shared" si="11"/>
        <v>0</v>
      </c>
    </row>
    <row r="125" spans="1:12" x14ac:dyDescent="0.15">
      <c r="A125" s="1">
        <f t="shared" si="12"/>
        <v>121</v>
      </c>
      <c r="B125" s="20">
        <v>1</v>
      </c>
      <c r="C125" s="5">
        <f t="shared" si="16"/>
        <v>0</v>
      </c>
      <c r="D125" s="51">
        <f t="shared" si="13"/>
        <v>0</v>
      </c>
      <c r="E125" s="54">
        <f t="shared" si="9"/>
        <v>0.94130800145035143</v>
      </c>
      <c r="F125" s="55">
        <f t="shared" si="14"/>
        <v>0</v>
      </c>
      <c r="G125" s="56">
        <f t="shared" si="10"/>
        <v>0</v>
      </c>
      <c r="H125" s="57">
        <f t="shared" si="10"/>
        <v>0</v>
      </c>
      <c r="I125" s="55">
        <f t="shared" si="15"/>
        <v>0</v>
      </c>
      <c r="J125" s="56">
        <f t="shared" si="11"/>
        <v>0</v>
      </c>
      <c r="K125" s="57">
        <f t="shared" si="11"/>
        <v>0</v>
      </c>
    </row>
    <row r="126" spans="1:12" x14ac:dyDescent="0.15">
      <c r="A126" s="1">
        <f t="shared" si="12"/>
        <v>122</v>
      </c>
      <c r="B126" s="20">
        <v>1</v>
      </c>
      <c r="C126" s="5">
        <f t="shared" si="16"/>
        <v>0</v>
      </c>
      <c r="D126" s="51">
        <f t="shared" si="13"/>
        <v>0</v>
      </c>
      <c r="E126" s="54">
        <f t="shared" si="9"/>
        <v>0.94083758265902162</v>
      </c>
      <c r="F126" s="55">
        <f t="shared" si="14"/>
        <v>0</v>
      </c>
      <c r="G126" s="56">
        <f t="shared" si="10"/>
        <v>0</v>
      </c>
      <c r="H126" s="57">
        <f t="shared" si="10"/>
        <v>0</v>
      </c>
      <c r="I126" s="55">
        <f t="shared" si="15"/>
        <v>0</v>
      </c>
      <c r="J126" s="56">
        <f t="shared" si="11"/>
        <v>0</v>
      </c>
      <c r="K126" s="57">
        <f t="shared" si="11"/>
        <v>0</v>
      </c>
    </row>
    <row r="127" spans="1:12" x14ac:dyDescent="0.15">
      <c r="A127" s="1">
        <f t="shared" si="12"/>
        <v>123</v>
      </c>
      <c r="B127" s="20">
        <v>1</v>
      </c>
      <c r="C127" s="5">
        <f t="shared" si="16"/>
        <v>0</v>
      </c>
      <c r="D127" s="51">
        <f t="shared" si="13"/>
        <v>0</v>
      </c>
      <c r="E127" s="54">
        <f t="shared" si="9"/>
        <v>0.94036739895954191</v>
      </c>
      <c r="F127" s="55">
        <f t="shared" si="14"/>
        <v>0</v>
      </c>
      <c r="G127" s="56">
        <f t="shared" si="10"/>
        <v>0</v>
      </c>
      <c r="H127" s="57">
        <f t="shared" si="10"/>
        <v>0</v>
      </c>
      <c r="I127" s="55">
        <f t="shared" si="15"/>
        <v>0</v>
      </c>
      <c r="J127" s="56">
        <f t="shared" si="11"/>
        <v>0</v>
      </c>
      <c r="K127" s="57">
        <f t="shared" si="11"/>
        <v>0</v>
      </c>
      <c r="L127" s="9"/>
    </row>
    <row r="128" spans="1:12" x14ac:dyDescent="0.15">
      <c r="A128" s="1">
        <f t="shared" si="12"/>
        <v>124</v>
      </c>
      <c r="B128" s="20">
        <v>1</v>
      </c>
      <c r="C128" s="5">
        <f t="shared" si="16"/>
        <v>0</v>
      </c>
      <c r="D128" s="51">
        <f t="shared" si="13"/>
        <v>0</v>
      </c>
      <c r="E128" s="54">
        <f t="shared" si="9"/>
        <v>0.93989745023442484</v>
      </c>
      <c r="F128" s="55">
        <f t="shared" si="14"/>
        <v>0</v>
      </c>
      <c r="G128" s="56">
        <f t="shared" si="10"/>
        <v>0</v>
      </c>
      <c r="H128" s="57">
        <f t="shared" si="10"/>
        <v>0</v>
      </c>
      <c r="I128" s="55">
        <f t="shared" si="15"/>
        <v>0</v>
      </c>
      <c r="J128" s="56">
        <f t="shared" si="11"/>
        <v>0</v>
      </c>
      <c r="K128" s="57">
        <f t="shared" si="11"/>
        <v>0</v>
      </c>
      <c r="L128" s="9"/>
    </row>
    <row r="129" spans="1:12" x14ac:dyDescent="0.15">
      <c r="A129" s="1">
        <f t="shared" si="12"/>
        <v>125</v>
      </c>
      <c r="B129" s="20">
        <v>1</v>
      </c>
      <c r="C129" s="5">
        <f t="shared" si="16"/>
        <v>0</v>
      </c>
      <c r="D129" s="51">
        <f t="shared" si="13"/>
        <v>0</v>
      </c>
      <c r="E129" s="54">
        <f t="shared" si="9"/>
        <v>0.93942773636624166</v>
      </c>
      <c r="F129" s="55">
        <f t="shared" si="14"/>
        <v>0</v>
      </c>
      <c r="G129" s="56">
        <f t="shared" si="10"/>
        <v>0</v>
      </c>
      <c r="H129" s="57">
        <f t="shared" si="10"/>
        <v>0</v>
      </c>
      <c r="I129" s="55">
        <f t="shared" si="15"/>
        <v>0</v>
      </c>
      <c r="J129" s="56">
        <f t="shared" si="11"/>
        <v>0</v>
      </c>
      <c r="K129" s="57">
        <f t="shared" si="11"/>
        <v>0</v>
      </c>
      <c r="L129" s="9"/>
    </row>
    <row r="130" spans="1:12" x14ac:dyDescent="0.15">
      <c r="A130" s="1">
        <f t="shared" si="12"/>
        <v>126</v>
      </c>
      <c r="B130" s="20">
        <v>1</v>
      </c>
      <c r="C130" s="5">
        <f t="shared" si="16"/>
        <v>0</v>
      </c>
      <c r="D130" s="51">
        <f t="shared" si="13"/>
        <v>0</v>
      </c>
      <c r="E130" s="54">
        <f t="shared" si="9"/>
        <v>0.93895825723762316</v>
      </c>
      <c r="F130" s="55">
        <f t="shared" si="14"/>
        <v>0</v>
      </c>
      <c r="G130" s="56">
        <f>G131+F130</f>
        <v>0</v>
      </c>
      <c r="H130" s="57">
        <f>H131+G130</f>
        <v>0</v>
      </c>
      <c r="I130" s="55">
        <f t="shared" si="15"/>
        <v>0</v>
      </c>
      <c r="J130" s="56">
        <f>J131+I130</f>
        <v>0</v>
      </c>
      <c r="K130" s="57">
        <f>K131+J130</f>
        <v>0</v>
      </c>
      <c r="L130" s="9"/>
    </row>
    <row r="131" spans="1:12" ht="14" thickBot="1" x14ac:dyDescent="0.2">
      <c r="A131" s="2">
        <f t="shared" si="12"/>
        <v>127</v>
      </c>
      <c r="B131" s="22">
        <v>1</v>
      </c>
      <c r="C131" s="6">
        <f t="shared" si="16"/>
        <v>0</v>
      </c>
      <c r="D131" s="53">
        <v>0</v>
      </c>
      <c r="E131" s="62">
        <f t="shared" si="9"/>
        <v>0.93848901273125729</v>
      </c>
      <c r="F131" s="63">
        <f t="shared" si="14"/>
        <v>0</v>
      </c>
      <c r="G131" s="64">
        <f>F131</f>
        <v>0</v>
      </c>
      <c r="H131" s="65">
        <f>G131</f>
        <v>0</v>
      </c>
      <c r="I131" s="66">
        <v>0</v>
      </c>
      <c r="J131" s="64">
        <f>I131</f>
        <v>0</v>
      </c>
      <c r="K131" s="65">
        <f>J131</f>
        <v>0</v>
      </c>
    </row>
    <row r="132" spans="1:12" x14ac:dyDescent="0.15">
      <c r="C132" s="11"/>
      <c r="D132" s="11" t="b">
        <f>(D122=C122)</f>
        <v>1</v>
      </c>
      <c r="E132" s="10"/>
      <c r="H132" s="46"/>
      <c r="I132" s="47" t="b">
        <f>(I122=F122/(1+D1))</f>
        <v>1</v>
      </c>
    </row>
    <row r="133" spans="1:12" x14ac:dyDescent="0.15">
      <c r="C133" s="11" t="b">
        <f>(SUM(C123:C131)=0)</f>
        <v>1</v>
      </c>
      <c r="D133" s="11" t="b">
        <f>(SUM(D123:D131)=0)</f>
        <v>1</v>
      </c>
      <c r="F133" s="48" t="b">
        <f>AND(F122=G122,G122=H122)</f>
        <v>1</v>
      </c>
      <c r="H133" s="41"/>
      <c r="I133" s="49" t="b">
        <f>AND(I122=J122,J122=K122)</f>
        <v>1</v>
      </c>
    </row>
    <row r="134" spans="1:12" x14ac:dyDescent="0.15">
      <c r="F134" s="48" t="b">
        <f>(SUM(F123:H131)=0)</f>
        <v>1</v>
      </c>
      <c r="H134" s="41"/>
      <c r="I134" s="49" t="b">
        <f>(SUM(I123:K131)=0)</f>
        <v>1</v>
      </c>
    </row>
  </sheetData>
  <pageMargins left="0.78740157480314965" right="0.78740157480314965" top="0.98425196850393704" bottom="0.98425196850393704" header="0.51181102362204722" footer="0.51181102362204722"/>
  <pageSetup scale="75" fitToHeight="2" orientation="portrait" r:id="rId1"/>
  <headerFooter alignWithMargins="0">
    <oddFooter>&amp;L&amp;A&amp;C&amp;P von &amp;N</oddFooter>
  </headerFooter>
  <customProperties>
    <customPr name="_pios_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F78"/>
  <sheetViews>
    <sheetView workbookViewId="0"/>
  </sheetViews>
  <sheetFormatPr baseColWidth="10" defaultColWidth="9.1640625" defaultRowHeight="13" x14ac:dyDescent="0.15"/>
  <cols>
    <col min="1" max="1" width="10.1640625" customWidth="1"/>
    <col min="2" max="5" width="10.5" customWidth="1"/>
    <col min="6" max="6" width="10.1640625" bestFit="1" customWidth="1"/>
  </cols>
  <sheetData>
    <row r="1" spans="1:6" ht="16" x14ac:dyDescent="0.2">
      <c r="A1" s="33" t="s">
        <v>31</v>
      </c>
    </row>
    <row r="2" spans="1:6" ht="14" thickBot="1" x14ac:dyDescent="0.2"/>
    <row r="3" spans="1:6" x14ac:dyDescent="0.15">
      <c r="A3" s="25" t="s">
        <v>28</v>
      </c>
      <c r="B3" s="37" t="s">
        <v>25</v>
      </c>
      <c r="C3" s="37" t="s">
        <v>26</v>
      </c>
      <c r="D3" s="37" t="s">
        <v>23</v>
      </c>
      <c r="E3" s="37" t="s">
        <v>24</v>
      </c>
    </row>
    <row r="4" spans="1:6" ht="14" thickBot="1" x14ac:dyDescent="0.2">
      <c r="A4" s="26" t="s">
        <v>29</v>
      </c>
      <c r="B4" s="38" t="s">
        <v>27</v>
      </c>
      <c r="C4" s="38" t="s">
        <v>27</v>
      </c>
      <c r="D4" s="38" t="s">
        <v>27</v>
      </c>
      <c r="E4" s="38" t="s">
        <v>27</v>
      </c>
    </row>
    <row r="5" spans="1:6" ht="14" thickBot="1" x14ac:dyDescent="0.2">
      <c r="A5" s="27" t="s">
        <v>32</v>
      </c>
      <c r="B5" s="35">
        <v>1</v>
      </c>
      <c r="C5" s="35">
        <v>1</v>
      </c>
      <c r="D5" s="35">
        <v>1</v>
      </c>
      <c r="E5" s="35">
        <v>1</v>
      </c>
      <c r="F5" s="28" t="s">
        <v>30</v>
      </c>
    </row>
    <row r="6" spans="1:6" x14ac:dyDescent="0.15">
      <c r="A6" s="36">
        <v>4</v>
      </c>
      <c r="B6" s="12">
        <f ca="1">IF(B$5=1,INDIRECT("'"&amp;B$3&amp;"'!"&amp;B$4&amp;$A6,TRUE),"")</f>
        <v>3.0963000000000002E-3</v>
      </c>
      <c r="C6" s="12">
        <f ca="1">IF(C$5=1,INDIRECT("'"&amp;C$3&amp;"'!"&amp;C$4&amp;$A6,TRUE),"")</f>
        <v>1.5621000000000001E-3</v>
      </c>
      <c r="D6" s="12">
        <f ca="1">IF(D$5=1,INDIRECT("'"&amp;D$3&amp;"'!"&amp;D$4&amp;$A6,TRUE),"")</f>
        <v>5.3379999999998836E-3</v>
      </c>
      <c r="E6" s="15">
        <f ca="1">IF(E$5=1,INDIRECT("'"&amp;E$3&amp;"'!"&amp;E$4&amp;$A6,TRUE),"")</f>
        <v>4.1719999999999709E-3</v>
      </c>
      <c r="F6" s="18">
        <v>0</v>
      </c>
    </row>
    <row r="7" spans="1:6" x14ac:dyDescent="0.15">
      <c r="A7" s="3">
        <f>A6+1</f>
        <v>5</v>
      </c>
      <c r="B7" s="13">
        <f t="shared" ref="B7:E70" ca="1" si="0">IF(B$5=1,INDIRECT("'"&amp;B$3&amp;"'!"&amp;B$4&amp;$A7,TRUE),"")</f>
        <v>1.1770000000000001E-3</v>
      </c>
      <c r="C7" s="13">
        <f t="shared" ca="1" si="0"/>
        <v>1.2181E-3</v>
      </c>
      <c r="D7" s="13">
        <f t="shared" ca="1" si="0"/>
        <v>4.0310000000003273E-4</v>
      </c>
      <c r="E7" s="16">
        <f t="shared" ca="1" si="0"/>
        <v>3.5010000000002922E-4</v>
      </c>
      <c r="F7" s="18">
        <f>F6+1</f>
        <v>1</v>
      </c>
    </row>
    <row r="8" spans="1:6" x14ac:dyDescent="0.15">
      <c r="A8" s="3">
        <f t="shared" ref="A8:A71" si="1">A7+1</f>
        <v>6</v>
      </c>
      <c r="B8" s="13">
        <f t="shared" ca="1" si="0"/>
        <v>8.051E-4</v>
      </c>
      <c r="C8" s="13">
        <f t="shared" ca="1" si="0"/>
        <v>9.3260000000000001E-4</v>
      </c>
      <c r="D8" s="13">
        <f t="shared" ca="1" si="0"/>
        <v>3.7030000000001101E-4</v>
      </c>
      <c r="E8" s="16">
        <f t="shared" ca="1" si="0"/>
        <v>3.1360000000001852E-4</v>
      </c>
      <c r="F8" s="18">
        <f t="shared" ref="F8:F71" si="2">F7+1</f>
        <v>2</v>
      </c>
    </row>
    <row r="9" spans="1:6" x14ac:dyDescent="0.15">
      <c r="A9" s="3">
        <f t="shared" si="1"/>
        <v>7</v>
      </c>
      <c r="B9" s="13">
        <f t="shared" ca="1" si="0"/>
        <v>7.1929999999999997E-4</v>
      </c>
      <c r="C9" s="13">
        <f t="shared" ca="1" si="0"/>
        <v>7.0089999999999996E-4</v>
      </c>
      <c r="D9" s="13">
        <f t="shared" ca="1" si="0"/>
        <v>3.4359999999997653E-4</v>
      </c>
      <c r="E9" s="16">
        <f t="shared" ca="1" si="0"/>
        <v>2.8600000000005249E-4</v>
      </c>
      <c r="F9" s="18">
        <f t="shared" si="2"/>
        <v>3</v>
      </c>
    </row>
    <row r="10" spans="1:6" x14ac:dyDescent="0.15">
      <c r="A10" s="3">
        <f t="shared" si="1"/>
        <v>8</v>
      </c>
      <c r="B10" s="13">
        <f t="shared" ca="1" si="0"/>
        <v>6.4309999999999997E-4</v>
      </c>
      <c r="C10" s="13">
        <f t="shared" ca="1" si="0"/>
        <v>5.1920000000000004E-4</v>
      </c>
      <c r="D10" s="13">
        <f t="shared" ca="1" si="0"/>
        <v>3.2339999999993034E-4</v>
      </c>
      <c r="E10" s="16">
        <f t="shared" ca="1" si="0"/>
        <v>2.6680000000008032E-4</v>
      </c>
      <c r="F10" s="18">
        <f t="shared" si="2"/>
        <v>4</v>
      </c>
    </row>
    <row r="11" spans="1:6" x14ac:dyDescent="0.15">
      <c r="A11" s="3">
        <f t="shared" si="1"/>
        <v>9</v>
      </c>
      <c r="B11" s="13">
        <f t="shared" ca="1" si="0"/>
        <v>5.7700000000000004E-4</v>
      </c>
      <c r="C11" s="13">
        <f t="shared" ca="1" si="0"/>
        <v>3.8470000000000003E-4</v>
      </c>
      <c r="D11" s="13">
        <f t="shared" ca="1" si="0"/>
        <v>3.1069999999994727E-4</v>
      </c>
      <c r="E11" s="16">
        <f t="shared" ca="1" si="0"/>
        <v>2.5519999999994321E-4</v>
      </c>
      <c r="F11" s="18">
        <f t="shared" si="2"/>
        <v>5</v>
      </c>
    </row>
    <row r="12" spans="1:6" x14ac:dyDescent="0.15">
      <c r="A12" s="3">
        <f t="shared" si="1"/>
        <v>10</v>
      </c>
      <c r="B12" s="13">
        <f t="shared" ca="1" si="0"/>
        <v>5.2170000000000005E-4</v>
      </c>
      <c r="C12" s="13">
        <f t="shared" ca="1" si="0"/>
        <v>2.9530000000000002E-4</v>
      </c>
      <c r="D12" s="13">
        <f t="shared" ca="1" si="0"/>
        <v>3.0680000000010314E-4</v>
      </c>
      <c r="E12" s="16">
        <f t="shared" ca="1" si="0"/>
        <v>2.501999999999407E-4</v>
      </c>
      <c r="F12" s="18">
        <f t="shared" si="2"/>
        <v>6</v>
      </c>
    </row>
    <row r="13" spans="1:6" x14ac:dyDescent="0.15">
      <c r="A13" s="3">
        <f t="shared" si="1"/>
        <v>11</v>
      </c>
      <c r="B13" s="13">
        <f t="shared" ca="1" si="0"/>
        <v>4.7790000000000002E-4</v>
      </c>
      <c r="C13" s="13">
        <f t="shared" ca="1" si="0"/>
        <v>2.5030000000000001E-4</v>
      </c>
      <c r="D13" s="13">
        <f t="shared" ca="1" si="0"/>
        <v>3.1319999999996484E-4</v>
      </c>
      <c r="E13" s="16">
        <f t="shared" ca="1" si="0"/>
        <v>2.5129999999999868E-4</v>
      </c>
      <c r="F13" s="18">
        <f t="shared" si="2"/>
        <v>7</v>
      </c>
    </row>
    <row r="14" spans="1:6" x14ac:dyDescent="0.15">
      <c r="A14" s="3">
        <f t="shared" si="1"/>
        <v>12</v>
      </c>
      <c r="B14" s="13">
        <f t="shared" ca="1" si="0"/>
        <v>4.462E-4</v>
      </c>
      <c r="C14" s="13">
        <f t="shared" ca="1" si="0"/>
        <v>2.4570000000000001E-4</v>
      </c>
      <c r="D14" s="13">
        <f t="shared" ca="1" si="0"/>
        <v>3.3150000000008601E-4</v>
      </c>
      <c r="E14" s="16">
        <f t="shared" ca="1" si="0"/>
        <v>2.5770000000001109E-4</v>
      </c>
      <c r="F14" s="18">
        <f t="shared" si="2"/>
        <v>8</v>
      </c>
    </row>
    <row r="15" spans="1:6" x14ac:dyDescent="0.15">
      <c r="A15" s="3">
        <f t="shared" si="1"/>
        <v>13</v>
      </c>
      <c r="B15" s="13">
        <f t="shared" ca="1" si="0"/>
        <v>4.2739999999999998E-4</v>
      </c>
      <c r="C15" s="13">
        <f t="shared" ca="1" si="0"/>
        <v>2.721E-4</v>
      </c>
      <c r="D15" s="13">
        <f t="shared" ca="1" si="0"/>
        <v>3.6290000000006704E-4</v>
      </c>
      <c r="E15" s="16">
        <f t="shared" ca="1" si="0"/>
        <v>2.6899999999994772E-4</v>
      </c>
      <c r="F15" s="18">
        <f t="shared" si="2"/>
        <v>9</v>
      </c>
    </row>
    <row r="16" spans="1:6" x14ac:dyDescent="0.15">
      <c r="A16" s="3">
        <f t="shared" si="1"/>
        <v>14</v>
      </c>
      <c r="B16" s="13">
        <f t="shared" ca="1" si="0"/>
        <v>4.2210000000000001E-4</v>
      </c>
      <c r="C16" s="13">
        <f t="shared" ca="1" si="0"/>
        <v>3.165E-4</v>
      </c>
      <c r="D16" s="13">
        <f t="shared" ca="1" si="0"/>
        <v>4.0790000000001859E-4</v>
      </c>
      <c r="E16" s="16">
        <f t="shared" ca="1" si="0"/>
        <v>2.8439999999993996E-4</v>
      </c>
      <c r="F16" s="18">
        <f t="shared" si="2"/>
        <v>10</v>
      </c>
    </row>
    <row r="17" spans="1:6" x14ac:dyDescent="0.15">
      <c r="A17" s="3">
        <f t="shared" si="1"/>
        <v>15</v>
      </c>
      <c r="B17" s="13">
        <f t="shared" ca="1" si="0"/>
        <v>4.3080000000000001E-4</v>
      </c>
      <c r="C17" s="13">
        <f t="shared" ca="1" si="0"/>
        <v>3.6699999999999998E-4</v>
      </c>
      <c r="D17" s="13">
        <f t="shared" ca="1" si="0"/>
        <v>4.6550000000007675E-4</v>
      </c>
      <c r="E17" s="16">
        <f t="shared" ca="1" si="0"/>
        <v>3.0349999999994644E-4</v>
      </c>
      <c r="F17" s="18">
        <f t="shared" si="2"/>
        <v>11</v>
      </c>
    </row>
    <row r="18" spans="1:6" x14ac:dyDescent="0.15">
      <c r="A18" s="3">
        <f t="shared" si="1"/>
        <v>16</v>
      </c>
      <c r="B18" s="13">
        <f t="shared" ca="1" si="0"/>
        <v>4.5320000000000001E-4</v>
      </c>
      <c r="C18" s="13">
        <f t="shared" ca="1" si="0"/>
        <v>4.1389999999999998E-4</v>
      </c>
      <c r="D18" s="13">
        <f t="shared" ca="1" si="0"/>
        <v>5.3349999999991013E-4</v>
      </c>
      <c r="E18" s="16">
        <f t="shared" ca="1" si="0"/>
        <v>3.2580000000009753E-4</v>
      </c>
      <c r="F18" s="18">
        <f t="shared" si="2"/>
        <v>12</v>
      </c>
    </row>
    <row r="19" spans="1:6" x14ac:dyDescent="0.15">
      <c r="A19" s="3">
        <f t="shared" si="1"/>
        <v>17</v>
      </c>
      <c r="B19" s="13">
        <f t="shared" ca="1" si="0"/>
        <v>4.9620000000000003E-4</v>
      </c>
      <c r="C19" s="13">
        <f t="shared" ca="1" si="0"/>
        <v>4.5160000000000003E-4</v>
      </c>
      <c r="D19" s="13">
        <f t="shared" ca="1" si="0"/>
        <v>6.0859999999993532E-4</v>
      </c>
      <c r="E19" s="16">
        <f t="shared" ca="1" si="0"/>
        <v>3.502999999999594E-4</v>
      </c>
      <c r="F19" s="18">
        <f t="shared" si="2"/>
        <v>13</v>
      </c>
    </row>
    <row r="20" spans="1:6" x14ac:dyDescent="0.15">
      <c r="A20" s="3">
        <f t="shared" si="1"/>
        <v>18</v>
      </c>
      <c r="B20" s="13">
        <f t="shared" ca="1" si="0"/>
        <v>5.911E-4</v>
      </c>
      <c r="C20" s="13">
        <f t="shared" ca="1" si="0"/>
        <v>5.2999999999999998E-4</v>
      </c>
      <c r="D20" s="13">
        <f t="shared" ca="1" si="0"/>
        <v>6.85900000000019E-4</v>
      </c>
      <c r="E20" s="16">
        <f t="shared" ca="1" si="0"/>
        <v>3.7490000000002489E-4</v>
      </c>
      <c r="F20" s="18">
        <f t="shared" si="2"/>
        <v>14</v>
      </c>
    </row>
    <row r="21" spans="1:6" x14ac:dyDescent="0.15">
      <c r="A21" s="3">
        <f t="shared" si="1"/>
        <v>19</v>
      </c>
      <c r="B21" s="13">
        <f t="shared" ca="1" si="0"/>
        <v>7.7150000000000005E-4</v>
      </c>
      <c r="C21" s="13">
        <f t="shared" ca="1" si="0"/>
        <v>7.3479999999999997E-4</v>
      </c>
      <c r="D21" s="13">
        <f t="shared" ca="1" si="0"/>
        <v>7.5970000000002676E-4</v>
      </c>
      <c r="E21" s="16">
        <f t="shared" ca="1" si="0"/>
        <v>3.9730000000005579E-4</v>
      </c>
      <c r="F21" s="18">
        <f t="shared" si="2"/>
        <v>15</v>
      </c>
    </row>
    <row r="22" spans="1:6" x14ac:dyDescent="0.15">
      <c r="A22" s="3">
        <f t="shared" si="1"/>
        <v>20</v>
      </c>
      <c r="B22" s="13">
        <f t="shared" ca="1" si="0"/>
        <v>1.0666E-3</v>
      </c>
      <c r="C22" s="13">
        <f t="shared" ca="1" si="0"/>
        <v>9.9149999999999998E-4</v>
      </c>
      <c r="D22" s="13">
        <f t="shared" ca="1" si="0"/>
        <v>8.2400000000008985E-4</v>
      </c>
      <c r="E22" s="16">
        <f t="shared" ca="1" si="0"/>
        <v>4.1520000000000646E-4</v>
      </c>
      <c r="F22" s="18">
        <f t="shared" si="2"/>
        <v>16</v>
      </c>
    </row>
    <row r="23" spans="1:6" x14ac:dyDescent="0.15">
      <c r="A23" s="3">
        <f t="shared" si="1"/>
        <v>21</v>
      </c>
      <c r="B23" s="13">
        <f t="shared" ca="1" si="0"/>
        <v>1.4748999999999999E-3</v>
      </c>
      <c r="C23" s="13">
        <f t="shared" ca="1" si="0"/>
        <v>1.1118E-3</v>
      </c>
      <c r="D23" s="13">
        <f t="shared" ca="1" si="0"/>
        <v>8.7279999999997156E-4</v>
      </c>
      <c r="E23" s="16">
        <f t="shared" ca="1" si="0"/>
        <v>4.2660000000011131E-4</v>
      </c>
      <c r="F23" s="18">
        <f t="shared" si="2"/>
        <v>17</v>
      </c>
    </row>
    <row r="24" spans="1:6" x14ac:dyDescent="0.15">
      <c r="A24" s="3">
        <f t="shared" si="1"/>
        <v>22</v>
      </c>
      <c r="B24" s="13">
        <f t="shared" ca="1" si="0"/>
        <v>1.8875999999999999E-3</v>
      </c>
      <c r="C24" s="13">
        <f t="shared" ca="1" si="0"/>
        <v>1.0447E-3</v>
      </c>
      <c r="D24" s="13">
        <f t="shared" ca="1" si="0"/>
        <v>9.0119999999997377E-4</v>
      </c>
      <c r="E24" s="16">
        <f t="shared" ca="1" si="0"/>
        <v>4.2959999999997618E-4</v>
      </c>
      <c r="F24" s="18">
        <f t="shared" si="2"/>
        <v>18</v>
      </c>
    </row>
    <row r="25" spans="1:6" x14ac:dyDescent="0.15">
      <c r="A25" s="3">
        <f t="shared" si="1"/>
        <v>23</v>
      </c>
      <c r="B25" s="13">
        <f t="shared" ca="1" si="0"/>
        <v>2.1770000000000001E-3</v>
      </c>
      <c r="C25" s="13">
        <f t="shared" ca="1" si="0"/>
        <v>9.3899999999999995E-4</v>
      </c>
      <c r="D25" s="13">
        <f t="shared" ca="1" si="0"/>
        <v>9.05900000000043E-4</v>
      </c>
      <c r="E25" s="16">
        <f t="shared" ca="1" si="0"/>
        <v>4.2330000000005171E-4</v>
      </c>
      <c r="F25" s="18">
        <f t="shared" si="2"/>
        <v>19</v>
      </c>
    </row>
    <row r="26" spans="1:6" x14ac:dyDescent="0.15">
      <c r="A26" s="3">
        <f t="shared" si="1"/>
        <v>24</v>
      </c>
      <c r="B26" s="13">
        <f t="shared" ca="1" si="0"/>
        <v>2.2539000000000001E-3</v>
      </c>
      <c r="C26" s="13">
        <f t="shared" ca="1" si="0"/>
        <v>8.5329999999999998E-4</v>
      </c>
      <c r="D26" s="13">
        <f t="shared" ca="1" si="0"/>
        <v>8.8639999999995931E-4</v>
      </c>
      <c r="E26" s="16">
        <f t="shared" ca="1" si="0"/>
        <v>4.0750000000000253E-4</v>
      </c>
      <c r="F26" s="18">
        <f t="shared" si="2"/>
        <v>20</v>
      </c>
    </row>
    <row r="27" spans="1:6" x14ac:dyDescent="0.15">
      <c r="A27" s="3">
        <f t="shared" si="1"/>
        <v>25</v>
      </c>
      <c r="B27" s="13">
        <f t="shared" ca="1" si="0"/>
        <v>2.1743999999999999E-3</v>
      </c>
      <c r="C27" s="13">
        <f t="shared" ca="1" si="0"/>
        <v>7.7749999999999998E-4</v>
      </c>
      <c r="D27" s="13">
        <f t="shared" ca="1" si="0"/>
        <v>8.4550000000011667E-4</v>
      </c>
      <c r="E27" s="16">
        <f t="shared" ca="1" si="0"/>
        <v>3.8309999999998963E-4</v>
      </c>
      <c r="F27" s="18">
        <f t="shared" si="2"/>
        <v>21</v>
      </c>
    </row>
    <row r="28" spans="1:6" x14ac:dyDescent="0.15">
      <c r="A28" s="3">
        <f t="shared" si="1"/>
        <v>26</v>
      </c>
      <c r="B28" s="13">
        <f t="shared" ca="1" si="0"/>
        <v>2.0281000000000001E-3</v>
      </c>
      <c r="C28" s="13">
        <f t="shared" ca="1" si="0"/>
        <v>7.1400000000000001E-4</v>
      </c>
      <c r="D28" s="13">
        <f t="shared" ca="1" si="0"/>
        <v>7.8890000000002096E-4</v>
      </c>
      <c r="E28" s="16">
        <f t="shared" ca="1" si="0"/>
        <v>3.5200000000001468E-4</v>
      </c>
      <c r="F28" s="18">
        <f t="shared" si="2"/>
        <v>22</v>
      </c>
    </row>
    <row r="29" spans="1:6" x14ac:dyDescent="0.15">
      <c r="A29" s="3">
        <f t="shared" si="1"/>
        <v>27</v>
      </c>
      <c r="B29" s="13">
        <f t="shared" ca="1" si="0"/>
        <v>1.8632E-3</v>
      </c>
      <c r="C29" s="13">
        <f t="shared" ca="1" si="0"/>
        <v>6.6799999999999997E-4</v>
      </c>
      <c r="D29" s="13">
        <f t="shared" ca="1" si="0"/>
        <v>7.2409999999995282E-4</v>
      </c>
      <c r="E29" s="16">
        <f t="shared" ca="1" si="0"/>
        <v>3.1699999999994021E-4</v>
      </c>
      <c r="F29" s="18">
        <f t="shared" si="2"/>
        <v>23</v>
      </c>
    </row>
    <row r="30" spans="1:6" x14ac:dyDescent="0.15">
      <c r="A30" s="3">
        <f t="shared" si="1"/>
        <v>28</v>
      </c>
      <c r="B30" s="13">
        <f t="shared" ca="1" si="0"/>
        <v>1.7139E-3</v>
      </c>
      <c r="C30" s="13">
        <f t="shared" ca="1" si="0"/>
        <v>6.3330000000000005E-4</v>
      </c>
      <c r="D30" s="13">
        <f t="shared" ca="1" si="0"/>
        <v>6.5859999999999953E-4</v>
      </c>
      <c r="E30" s="16">
        <f t="shared" ca="1" si="0"/>
        <v>2.8140000000004078E-4</v>
      </c>
      <c r="F30" s="18">
        <f t="shared" si="2"/>
        <v>24</v>
      </c>
    </row>
    <row r="31" spans="1:6" x14ac:dyDescent="0.15">
      <c r="A31" s="3">
        <f t="shared" si="1"/>
        <v>29</v>
      </c>
      <c r="B31" s="13">
        <f t="shared" ca="1" si="0"/>
        <v>1.5934E-3</v>
      </c>
      <c r="C31" s="13">
        <f t="shared" ca="1" si="0"/>
        <v>6.1320000000000005E-4</v>
      </c>
      <c r="D31" s="13">
        <f t="shared" ca="1" si="0"/>
        <v>5.9849999999996169E-4</v>
      </c>
      <c r="E31" s="16">
        <f t="shared" ca="1" si="0"/>
        <v>2.4869999999992625E-4</v>
      </c>
      <c r="F31" s="18">
        <f t="shared" si="2"/>
        <v>25</v>
      </c>
    </row>
    <row r="32" spans="1:6" x14ac:dyDescent="0.15">
      <c r="A32" s="3">
        <f t="shared" si="1"/>
        <v>30</v>
      </c>
      <c r="B32" s="13">
        <f t="shared" ca="1" si="0"/>
        <v>1.4966000000000001E-3</v>
      </c>
      <c r="C32" s="13">
        <f t="shared" ca="1" si="0"/>
        <v>6.0470000000000001E-4</v>
      </c>
      <c r="D32" s="13">
        <f t="shared" ca="1" si="0"/>
        <v>5.4779999999992864E-4</v>
      </c>
      <c r="E32" s="16">
        <f t="shared" ca="1" si="0"/>
        <v>2.2120000000003676E-4</v>
      </c>
      <c r="F32" s="18">
        <f t="shared" si="2"/>
        <v>26</v>
      </c>
    </row>
    <row r="33" spans="1:6" x14ac:dyDescent="0.15">
      <c r="A33" s="3">
        <f t="shared" si="1"/>
        <v>31</v>
      </c>
      <c r="B33" s="13">
        <f t="shared" ca="1" si="0"/>
        <v>1.421E-3</v>
      </c>
      <c r="C33" s="13">
        <f t="shared" ca="1" si="0"/>
        <v>6.0559999999999998E-4</v>
      </c>
      <c r="D33" s="13">
        <f t="shared" ca="1" si="0"/>
        <v>5.0839999999995446E-4</v>
      </c>
      <c r="E33" s="16">
        <f t="shared" ca="1" si="0"/>
        <v>2.0040000000005274E-4</v>
      </c>
      <c r="F33" s="18">
        <f t="shared" si="2"/>
        <v>27</v>
      </c>
    </row>
    <row r="34" spans="1:6" x14ac:dyDescent="0.15">
      <c r="A34" s="3">
        <f t="shared" si="1"/>
        <v>32</v>
      </c>
      <c r="B34" s="13">
        <f t="shared" ca="1" si="0"/>
        <v>1.3651E-3</v>
      </c>
      <c r="C34" s="13">
        <f t="shared" ca="1" si="0"/>
        <v>6.1479999999999998E-4</v>
      </c>
      <c r="D34" s="13">
        <f t="shared" ca="1" si="0"/>
        <v>4.8090000000005874E-4</v>
      </c>
      <c r="E34" s="16">
        <f t="shared" ca="1" si="0"/>
        <v>1.8759999999989291E-4</v>
      </c>
      <c r="F34" s="18">
        <f t="shared" si="2"/>
        <v>28</v>
      </c>
    </row>
    <row r="35" spans="1:6" x14ac:dyDescent="0.15">
      <c r="A35" s="3">
        <f t="shared" si="1"/>
        <v>33</v>
      </c>
      <c r="B35" s="13">
        <f t="shared" ca="1" si="0"/>
        <v>1.3270000000000001E-3</v>
      </c>
      <c r="C35" s="13">
        <f t="shared" ca="1" si="0"/>
        <v>6.311E-4</v>
      </c>
      <c r="D35" s="13">
        <f t="shared" ca="1" si="0"/>
        <v>4.6460000000007841E-4</v>
      </c>
      <c r="E35" s="16">
        <f t="shared" ca="1" si="0"/>
        <v>1.8339999999999069E-4</v>
      </c>
      <c r="F35" s="18">
        <f t="shared" si="2"/>
        <v>29</v>
      </c>
    </row>
    <row r="36" spans="1:6" x14ac:dyDescent="0.15">
      <c r="A36" s="3">
        <f t="shared" si="1"/>
        <v>34</v>
      </c>
      <c r="B36" s="13">
        <f t="shared" ca="1" si="0"/>
        <v>1.305E-3</v>
      </c>
      <c r="C36" s="13">
        <f t="shared" ca="1" si="0"/>
        <v>6.5300000000000004E-4</v>
      </c>
      <c r="D36" s="13">
        <f t="shared" ca="1" si="0"/>
        <v>4.582999999999507E-4</v>
      </c>
      <c r="E36" s="16">
        <f t="shared" ca="1" si="0"/>
        <v>1.8759999999989278E-4</v>
      </c>
      <c r="F36" s="18">
        <f t="shared" si="2"/>
        <v>30</v>
      </c>
    </row>
    <row r="37" spans="1:6" x14ac:dyDescent="0.15">
      <c r="A37" s="3">
        <f t="shared" si="1"/>
        <v>35</v>
      </c>
      <c r="B37" s="13">
        <f t="shared" ca="1" si="0"/>
        <v>1.2974E-3</v>
      </c>
      <c r="C37" s="13">
        <f t="shared" ca="1" si="0"/>
        <v>6.7920000000000003E-4</v>
      </c>
      <c r="D37" s="13">
        <f t="shared" ca="1" si="0"/>
        <v>4.6139999999988214E-4</v>
      </c>
      <c r="E37" s="16">
        <f t="shared" ca="1" si="0"/>
        <v>1.9910000000005444E-4</v>
      </c>
      <c r="F37" s="18">
        <f t="shared" si="2"/>
        <v>31</v>
      </c>
    </row>
    <row r="38" spans="1:6" x14ac:dyDescent="0.15">
      <c r="A38" s="3">
        <f t="shared" si="1"/>
        <v>36</v>
      </c>
      <c r="B38" s="13">
        <f t="shared" ca="1" si="0"/>
        <v>1.3024E-3</v>
      </c>
      <c r="C38" s="13">
        <f t="shared" ca="1" si="0"/>
        <v>7.0870000000000004E-4</v>
      </c>
      <c r="D38" s="13">
        <f t="shared" ca="1" si="0"/>
        <v>4.7409999999998279E-4</v>
      </c>
      <c r="E38" s="16">
        <f t="shared" ca="1" si="0"/>
        <v>2.1620000000005581E-4</v>
      </c>
      <c r="F38" s="18">
        <f t="shared" si="2"/>
        <v>32</v>
      </c>
    </row>
    <row r="39" spans="1:6" x14ac:dyDescent="0.15">
      <c r="A39" s="3">
        <f t="shared" si="1"/>
        <v>37</v>
      </c>
      <c r="B39" s="13">
        <f t="shared" ca="1" si="0"/>
        <v>1.3178E-3</v>
      </c>
      <c r="C39" s="13">
        <f t="shared" ca="1" si="0"/>
        <v>7.4129999999999997E-4</v>
      </c>
      <c r="D39" s="13">
        <f t="shared" ca="1" si="0"/>
        <v>4.9730000000007166E-4</v>
      </c>
      <c r="E39" s="16">
        <f t="shared" ca="1" si="0"/>
        <v>2.3669999999999133E-4</v>
      </c>
      <c r="F39" s="18">
        <f t="shared" si="2"/>
        <v>33</v>
      </c>
    </row>
    <row r="40" spans="1:6" x14ac:dyDescent="0.15">
      <c r="A40" s="3">
        <f t="shared" si="1"/>
        <v>38</v>
      </c>
      <c r="B40" s="13">
        <f t="shared" ca="1" si="0"/>
        <v>1.3420999999999999E-3</v>
      </c>
      <c r="C40" s="13">
        <f t="shared" ca="1" si="0"/>
        <v>7.7800000000000005E-4</v>
      </c>
      <c r="D40" s="13">
        <f t="shared" ca="1" si="0"/>
        <v>5.3139999999999579E-4</v>
      </c>
      <c r="E40" s="16">
        <f t="shared" ca="1" si="0"/>
        <v>2.5949999999993171E-4</v>
      </c>
      <c r="F40" s="18">
        <f t="shared" si="2"/>
        <v>34</v>
      </c>
    </row>
    <row r="41" spans="1:6" x14ac:dyDescent="0.15">
      <c r="A41" s="3">
        <f t="shared" si="1"/>
        <v>39</v>
      </c>
      <c r="B41" s="13">
        <f t="shared" ca="1" si="0"/>
        <v>1.3734999999999999E-3</v>
      </c>
      <c r="C41" s="13">
        <f t="shared" ca="1" si="0"/>
        <v>8.183E-4</v>
      </c>
      <c r="D41" s="13">
        <f t="shared" ca="1" si="0"/>
        <v>5.7510000000000135E-4</v>
      </c>
      <c r="E41" s="16">
        <f t="shared" ca="1" si="0"/>
        <v>2.8559999999998856E-4</v>
      </c>
      <c r="F41" s="18">
        <f t="shared" si="2"/>
        <v>35</v>
      </c>
    </row>
    <row r="42" spans="1:6" x14ac:dyDescent="0.15">
      <c r="A42" s="3">
        <f t="shared" si="1"/>
        <v>40</v>
      </c>
      <c r="B42" s="13">
        <f t="shared" ca="1" si="0"/>
        <v>1.4105999999999999E-3</v>
      </c>
      <c r="C42" s="13">
        <f t="shared" ca="1" si="0"/>
        <v>8.6260000000000004E-4</v>
      </c>
      <c r="D42" s="13">
        <f t="shared" ca="1" si="0"/>
        <v>6.2549999999993589E-4</v>
      </c>
      <c r="E42" s="16">
        <f t="shared" ca="1" si="0"/>
        <v>3.1780000000005229E-4</v>
      </c>
      <c r="F42" s="18">
        <f t="shared" si="2"/>
        <v>36</v>
      </c>
    </row>
    <row r="43" spans="1:6" x14ac:dyDescent="0.15">
      <c r="A43" s="3">
        <f t="shared" si="1"/>
        <v>41</v>
      </c>
      <c r="B43" s="13">
        <f t="shared" ca="1" si="0"/>
        <v>1.4694E-3</v>
      </c>
      <c r="C43" s="13">
        <f t="shared" ca="1" si="0"/>
        <v>9.1989999999999997E-4</v>
      </c>
      <c r="D43" s="13">
        <f t="shared" ca="1" si="0"/>
        <v>6.796999999999551E-4</v>
      </c>
      <c r="E43" s="16">
        <f t="shared" ca="1" si="0"/>
        <v>3.6019999999998046E-4</v>
      </c>
      <c r="F43" s="18">
        <f t="shared" si="2"/>
        <v>37</v>
      </c>
    </row>
    <row r="44" spans="1:6" x14ac:dyDescent="0.15">
      <c r="A44" s="3">
        <f t="shared" si="1"/>
        <v>42</v>
      </c>
      <c r="B44" s="13">
        <f t="shared" ca="1" si="0"/>
        <v>1.5394E-3</v>
      </c>
      <c r="C44" s="13">
        <f t="shared" ca="1" si="0"/>
        <v>9.8409999999999991E-4</v>
      </c>
      <c r="D44" s="13">
        <f t="shared" ca="1" si="0"/>
        <v>7.3610000000002716E-4</v>
      </c>
      <c r="E44" s="16">
        <f t="shared" ca="1" si="0"/>
        <v>4.1550000000001899E-4</v>
      </c>
      <c r="F44" s="18">
        <f t="shared" si="2"/>
        <v>38</v>
      </c>
    </row>
    <row r="45" spans="1:6" x14ac:dyDescent="0.15">
      <c r="A45" s="3">
        <f t="shared" si="1"/>
        <v>43</v>
      </c>
      <c r="B45" s="13">
        <f t="shared" ca="1" si="0"/>
        <v>1.6230000000000001E-3</v>
      </c>
      <c r="C45" s="13">
        <f t="shared" ca="1" si="0"/>
        <v>1.0554E-3</v>
      </c>
      <c r="D45" s="13">
        <f t="shared" ca="1" si="0"/>
        <v>7.9579999999999452E-4</v>
      </c>
      <c r="E45" s="16">
        <f t="shared" ca="1" si="0"/>
        <v>4.8289999999988115E-4</v>
      </c>
      <c r="F45" s="18">
        <f t="shared" si="2"/>
        <v>39</v>
      </c>
    </row>
    <row r="46" spans="1:6" x14ac:dyDescent="0.15">
      <c r="A46" s="3">
        <f t="shared" si="1"/>
        <v>44</v>
      </c>
      <c r="B46" s="13">
        <f t="shared" ca="1" si="0"/>
        <v>1.7236E-3</v>
      </c>
      <c r="C46" s="13">
        <f t="shared" ca="1" si="0"/>
        <v>1.1356999999999999E-3</v>
      </c>
      <c r="D46" s="13">
        <f t="shared" ca="1" si="0"/>
        <v>8.6180000000004827E-4</v>
      </c>
      <c r="E46" s="16">
        <f t="shared" ca="1" si="0"/>
        <v>5.590000000000434E-4</v>
      </c>
      <c r="F46" s="18">
        <f t="shared" si="2"/>
        <v>40</v>
      </c>
    </row>
    <row r="47" spans="1:6" x14ac:dyDescent="0.15">
      <c r="A47" s="3">
        <f t="shared" si="1"/>
        <v>45</v>
      </c>
      <c r="B47" s="13">
        <f t="shared" ca="1" si="0"/>
        <v>1.843E-3</v>
      </c>
      <c r="C47" s="13">
        <f t="shared" ca="1" si="0"/>
        <v>1.225E-3</v>
      </c>
      <c r="D47" s="13">
        <f t="shared" ca="1" si="0"/>
        <v>9.3829999999992713E-4</v>
      </c>
      <c r="E47" s="16">
        <f t="shared" ca="1" si="0"/>
        <v>6.3929999999999109E-4</v>
      </c>
      <c r="F47" s="18">
        <f t="shared" si="2"/>
        <v>41</v>
      </c>
    </row>
    <row r="48" spans="1:6" x14ac:dyDescent="0.15">
      <c r="A48" s="3">
        <f t="shared" si="1"/>
        <v>46</v>
      </c>
      <c r="B48" s="13">
        <f t="shared" ca="1" si="0"/>
        <v>1.9837000000000001E-3</v>
      </c>
      <c r="C48" s="13">
        <f t="shared" ca="1" si="0"/>
        <v>1.3235E-3</v>
      </c>
      <c r="D48" s="13">
        <f t="shared" ca="1" si="0"/>
        <v>1.0290999999999432E-3</v>
      </c>
      <c r="E48" s="16">
        <f t="shared" ca="1" si="0"/>
        <v>7.2029999999996899E-4</v>
      </c>
      <c r="F48" s="18">
        <f t="shared" si="2"/>
        <v>42</v>
      </c>
    </row>
    <row r="49" spans="1:6" x14ac:dyDescent="0.15">
      <c r="A49" s="3">
        <f t="shared" si="1"/>
        <v>47</v>
      </c>
      <c r="B49" s="13">
        <f t="shared" ca="1" si="0"/>
        <v>2.1484E-3</v>
      </c>
      <c r="C49" s="13">
        <f t="shared" ca="1" si="0"/>
        <v>1.4321E-3</v>
      </c>
      <c r="D49" s="13">
        <f t="shared" ca="1" si="0"/>
        <v>1.1360000000000476E-3</v>
      </c>
      <c r="E49" s="16">
        <f t="shared" ca="1" si="0"/>
        <v>8.0060000000008484E-4</v>
      </c>
      <c r="F49" s="18">
        <f t="shared" si="2"/>
        <v>43</v>
      </c>
    </row>
    <row r="50" spans="1:6" x14ac:dyDescent="0.15">
      <c r="A50" s="3">
        <f t="shared" si="1"/>
        <v>48</v>
      </c>
      <c r="B50" s="13">
        <f t="shared" ca="1" si="0"/>
        <v>2.3400000000000001E-3</v>
      </c>
      <c r="C50" s="13">
        <f t="shared" ca="1" si="0"/>
        <v>1.5532E-3</v>
      </c>
      <c r="D50" s="13">
        <f t="shared" ca="1" si="0"/>
        <v>1.2585000000000929E-3</v>
      </c>
      <c r="E50" s="16">
        <f t="shared" ca="1" si="0"/>
        <v>8.804999999999512E-4</v>
      </c>
      <c r="F50" s="18">
        <f t="shared" si="2"/>
        <v>44</v>
      </c>
    </row>
    <row r="51" spans="1:6" x14ac:dyDescent="0.15">
      <c r="A51" s="3">
        <f t="shared" si="1"/>
        <v>49</v>
      </c>
      <c r="B51" s="13">
        <f t="shared" ca="1" si="0"/>
        <v>2.5612999999999999E-3</v>
      </c>
      <c r="C51" s="13">
        <f t="shared" ca="1" si="0"/>
        <v>1.6872E-3</v>
      </c>
      <c r="D51" s="13">
        <f t="shared" ca="1" si="0"/>
        <v>1.3949000000000151E-3</v>
      </c>
      <c r="E51" s="16">
        <f t="shared" ca="1" si="0"/>
        <v>9.6169999999988411E-4</v>
      </c>
      <c r="F51" s="18">
        <f t="shared" si="2"/>
        <v>45</v>
      </c>
    </row>
    <row r="52" spans="1:6" x14ac:dyDescent="0.15">
      <c r="A52" s="3">
        <f t="shared" si="1"/>
        <v>50</v>
      </c>
      <c r="B52" s="13">
        <f t="shared" ca="1" si="0"/>
        <v>2.8134000000000002E-3</v>
      </c>
      <c r="C52" s="13">
        <f t="shared" ca="1" si="0"/>
        <v>1.8320999999999999E-3</v>
      </c>
      <c r="D52" s="13">
        <f t="shared" ca="1" si="0"/>
        <v>1.5443999999999491E-3</v>
      </c>
      <c r="E52" s="16">
        <f t="shared" ca="1" si="0"/>
        <v>1.0457000000000424E-3</v>
      </c>
      <c r="F52" s="18">
        <f t="shared" si="2"/>
        <v>46</v>
      </c>
    </row>
    <row r="53" spans="1:6" x14ac:dyDescent="0.15">
      <c r="A53" s="3">
        <f t="shared" si="1"/>
        <v>51</v>
      </c>
      <c r="B53" s="13">
        <f t="shared" ca="1" si="0"/>
        <v>3.0975E-3</v>
      </c>
      <c r="C53" s="13">
        <f t="shared" ca="1" si="0"/>
        <v>1.9884E-3</v>
      </c>
      <c r="D53" s="13">
        <f t="shared" ca="1" si="0"/>
        <v>1.709900000000007E-3</v>
      </c>
      <c r="E53" s="16">
        <f t="shared" ca="1" si="0"/>
        <v>1.1356000000000476E-3</v>
      </c>
      <c r="F53" s="18">
        <f t="shared" si="2"/>
        <v>47</v>
      </c>
    </row>
    <row r="54" spans="1:6" x14ac:dyDescent="0.15">
      <c r="A54" s="3">
        <f t="shared" si="1"/>
        <v>52</v>
      </c>
      <c r="B54" s="13">
        <f t="shared" ca="1" si="0"/>
        <v>3.4166000000000001E-3</v>
      </c>
      <c r="C54" s="13">
        <f t="shared" ca="1" si="0"/>
        <v>2.1576E-3</v>
      </c>
      <c r="D54" s="13">
        <f t="shared" ca="1" si="0"/>
        <v>1.89609999999989E-3</v>
      </c>
      <c r="E54" s="16">
        <f t="shared" ca="1" si="0"/>
        <v>1.2355999999999979E-3</v>
      </c>
      <c r="F54" s="18">
        <f t="shared" si="2"/>
        <v>48</v>
      </c>
    </row>
    <row r="55" spans="1:6" x14ac:dyDescent="0.15">
      <c r="A55" s="3">
        <f t="shared" si="1"/>
        <v>53</v>
      </c>
      <c r="B55" s="13">
        <f t="shared" ca="1" si="0"/>
        <v>3.7728000000000002E-3</v>
      </c>
      <c r="C55" s="13">
        <f t="shared" ca="1" si="0"/>
        <v>2.3406999999999998E-3</v>
      </c>
      <c r="D55" s="13">
        <f t="shared" ca="1" si="0"/>
        <v>2.1078999999999916E-3</v>
      </c>
      <c r="E55" s="16">
        <f t="shared" ca="1" si="0"/>
        <v>1.350500000000058E-3</v>
      </c>
      <c r="F55" s="18">
        <f t="shared" si="2"/>
        <v>49</v>
      </c>
    </row>
    <row r="56" spans="1:6" x14ac:dyDescent="0.15">
      <c r="A56" s="3">
        <f t="shared" si="1"/>
        <v>54</v>
      </c>
      <c r="B56" s="13">
        <f t="shared" ca="1" si="0"/>
        <v>4.1663000000000004E-3</v>
      </c>
      <c r="C56" s="13">
        <f t="shared" ca="1" si="0"/>
        <v>2.5366E-3</v>
      </c>
      <c r="D56" s="13">
        <f t="shared" ca="1" si="0"/>
        <v>2.3467000000000826E-3</v>
      </c>
      <c r="E56" s="16">
        <f t="shared" ca="1" si="0"/>
        <v>1.4852000000000214E-3</v>
      </c>
      <c r="F56" s="18">
        <f t="shared" si="2"/>
        <v>50</v>
      </c>
    </row>
    <row r="57" spans="1:6" x14ac:dyDescent="0.15">
      <c r="A57" s="3">
        <f t="shared" si="1"/>
        <v>55</v>
      </c>
      <c r="B57" s="13">
        <f t="shared" ca="1" si="0"/>
        <v>4.5976000000000003E-3</v>
      </c>
      <c r="C57" s="13">
        <f t="shared" ca="1" si="0"/>
        <v>2.7428999999999999E-3</v>
      </c>
      <c r="D57" s="13">
        <f t="shared" ca="1" si="0"/>
        <v>2.6093999999999527E-3</v>
      </c>
      <c r="E57" s="16">
        <f t="shared" ca="1" si="0"/>
        <v>1.6441000000000105E-3</v>
      </c>
      <c r="F57" s="18">
        <f t="shared" si="2"/>
        <v>51</v>
      </c>
    </row>
    <row r="58" spans="1:6" x14ac:dyDescent="0.15">
      <c r="A58" s="3">
        <f t="shared" si="1"/>
        <v>56</v>
      </c>
      <c r="B58" s="13">
        <f t="shared" ca="1" si="0"/>
        <v>5.0701000000000001E-3</v>
      </c>
      <c r="C58" s="13">
        <f t="shared" ca="1" si="0"/>
        <v>2.9613999999999999E-3</v>
      </c>
      <c r="D58" s="13">
        <f t="shared" ca="1" si="0"/>
        <v>2.8907000000000941E-3</v>
      </c>
      <c r="E58" s="16">
        <f t="shared" ca="1" si="0"/>
        <v>1.8297999999999826E-3</v>
      </c>
      <c r="F58" s="18">
        <f t="shared" si="2"/>
        <v>52</v>
      </c>
    </row>
    <row r="59" spans="1:6" x14ac:dyDescent="0.15">
      <c r="A59" s="3">
        <f t="shared" si="1"/>
        <v>57</v>
      </c>
      <c r="B59" s="13">
        <f t="shared" ca="1" si="0"/>
        <v>5.5865999999999997E-3</v>
      </c>
      <c r="C59" s="13">
        <f t="shared" ca="1" si="0"/>
        <v>3.1957999999999999E-3</v>
      </c>
      <c r="D59" s="13">
        <f t="shared" ca="1" si="0"/>
        <v>3.1871999999998984E-3</v>
      </c>
      <c r="E59" s="16">
        <f t="shared" ca="1" si="0"/>
        <v>2.0412999999999933E-3</v>
      </c>
      <c r="F59" s="18">
        <f t="shared" si="2"/>
        <v>53</v>
      </c>
    </row>
    <row r="60" spans="1:6" x14ac:dyDescent="0.15">
      <c r="A60" s="3">
        <f t="shared" si="1"/>
        <v>58</v>
      </c>
      <c r="B60" s="13">
        <f t="shared" ca="1" si="0"/>
        <v>6.1539000000000003E-3</v>
      </c>
      <c r="C60" s="13">
        <f t="shared" ca="1" si="0"/>
        <v>3.4478999999999998E-3</v>
      </c>
      <c r="D60" s="13">
        <f t="shared" ca="1" si="0"/>
        <v>3.5024000000000613E-3</v>
      </c>
      <c r="E60" s="16">
        <f t="shared" ca="1" si="0"/>
        <v>2.2740999999998944E-3</v>
      </c>
      <c r="F60" s="18">
        <f t="shared" si="2"/>
        <v>54</v>
      </c>
    </row>
    <row r="61" spans="1:6" x14ac:dyDescent="0.15">
      <c r="A61" s="3">
        <f t="shared" si="1"/>
        <v>59</v>
      </c>
      <c r="B61" s="13">
        <f t="shared" ca="1" si="0"/>
        <v>6.7768999999999998E-3</v>
      </c>
      <c r="C61" s="13">
        <f t="shared" ca="1" si="0"/>
        <v>3.7190000000000001E-3</v>
      </c>
      <c r="D61" s="13">
        <f t="shared" ca="1" si="0"/>
        <v>3.8454999999999687E-3</v>
      </c>
      <c r="E61" s="16">
        <f t="shared" ca="1" si="0"/>
        <v>2.5233000000000321E-3</v>
      </c>
      <c r="F61" s="18">
        <f t="shared" si="2"/>
        <v>55</v>
      </c>
    </row>
    <row r="62" spans="1:6" x14ac:dyDescent="0.15">
      <c r="A62" s="3">
        <f t="shared" si="1"/>
        <v>60</v>
      </c>
      <c r="B62" s="13">
        <f t="shared" ca="1" si="0"/>
        <v>7.4513000000000001E-3</v>
      </c>
      <c r="C62" s="13">
        <f t="shared" ca="1" si="0"/>
        <v>4.0074999999999998E-3</v>
      </c>
      <c r="D62" s="13">
        <f t="shared" ca="1" si="0"/>
        <v>4.2255000000000105E-3</v>
      </c>
      <c r="E62" s="16">
        <f t="shared" ca="1" si="0"/>
        <v>2.783399999999929E-3</v>
      </c>
      <c r="F62" s="18">
        <f t="shared" si="2"/>
        <v>56</v>
      </c>
    </row>
    <row r="63" spans="1:6" x14ac:dyDescent="0.15">
      <c r="A63" s="3">
        <f t="shared" si="1"/>
        <v>61</v>
      </c>
      <c r="B63" s="13">
        <f t="shared" ca="1" si="0"/>
        <v>8.1764999999999997E-3</v>
      </c>
      <c r="C63" s="13">
        <f t="shared" ca="1" si="0"/>
        <v>4.3134000000000002E-3</v>
      </c>
      <c r="D63" s="13">
        <f t="shared" ca="1" si="0"/>
        <v>4.6439000000000055E-3</v>
      </c>
      <c r="E63" s="16">
        <f t="shared" ca="1" si="0"/>
        <v>3.0476999999999358E-3</v>
      </c>
      <c r="F63" s="18">
        <f t="shared" si="2"/>
        <v>57</v>
      </c>
    </row>
    <row r="64" spans="1:6" x14ac:dyDescent="0.15">
      <c r="A64" s="3">
        <f t="shared" si="1"/>
        <v>62</v>
      </c>
      <c r="B64" s="13">
        <f t="shared" ca="1" si="0"/>
        <v>8.9587E-3</v>
      </c>
      <c r="C64" s="13">
        <f t="shared" ca="1" si="0"/>
        <v>4.6427999999999999E-3</v>
      </c>
      <c r="D64" s="13">
        <f t="shared" ca="1" si="0"/>
        <v>5.0922000000000025E-3</v>
      </c>
      <c r="E64" s="16">
        <f t="shared" ca="1" si="0"/>
        <v>3.3077999999999021E-3</v>
      </c>
      <c r="F64" s="18">
        <f t="shared" si="2"/>
        <v>58</v>
      </c>
    </row>
    <row r="65" spans="1:6" x14ac:dyDescent="0.15">
      <c r="A65" s="3">
        <f t="shared" si="1"/>
        <v>63</v>
      </c>
      <c r="B65" s="13">
        <f t="shared" ca="1" si="0"/>
        <v>9.8148000000000003E-3</v>
      </c>
      <c r="C65" s="13">
        <f t="shared" ca="1" si="0"/>
        <v>5.0068999999999999E-3</v>
      </c>
      <c r="D65" s="13">
        <f t="shared" ca="1" si="0"/>
        <v>5.5557999999999701E-3</v>
      </c>
      <c r="E65" s="16">
        <f t="shared" ca="1" si="0"/>
        <v>3.5560999999998764E-3</v>
      </c>
      <c r="F65" s="18">
        <f t="shared" si="2"/>
        <v>59</v>
      </c>
    </row>
    <row r="66" spans="1:6" x14ac:dyDescent="0.15">
      <c r="A66" s="3">
        <f t="shared" si="1"/>
        <v>64</v>
      </c>
      <c r="B66" s="13">
        <f t="shared" ca="1" si="0"/>
        <v>1.07519E-2</v>
      </c>
      <c r="C66" s="13">
        <f t="shared" ca="1" si="0"/>
        <v>5.4153999999999999E-3</v>
      </c>
      <c r="D66" s="13">
        <f t="shared" ca="1" si="0"/>
        <v>6.0186000000000449E-3</v>
      </c>
      <c r="E66" s="16">
        <f t="shared" ca="1" si="0"/>
        <v>3.7887000000000051E-3</v>
      </c>
      <c r="F66" s="18">
        <f t="shared" si="2"/>
        <v>60</v>
      </c>
    </row>
    <row r="67" spans="1:6" x14ac:dyDescent="0.15">
      <c r="A67" s="3">
        <f t="shared" si="1"/>
        <v>65</v>
      </c>
      <c r="B67" s="13">
        <f t="shared" ca="1" si="0"/>
        <v>1.17456E-2</v>
      </c>
      <c r="C67" s="13">
        <f t="shared" ca="1" si="0"/>
        <v>5.8240999999999996E-3</v>
      </c>
      <c r="D67" s="13">
        <f t="shared" ca="1" si="0"/>
        <v>6.4712999999999611E-3</v>
      </c>
      <c r="E67" s="16">
        <f t="shared" ca="1" si="0"/>
        <v>4.0089000000000227E-3</v>
      </c>
      <c r="F67" s="18">
        <f t="shared" si="2"/>
        <v>61</v>
      </c>
    </row>
    <row r="68" spans="1:6" x14ac:dyDescent="0.15">
      <c r="A68" s="3">
        <f t="shared" si="1"/>
        <v>66</v>
      </c>
      <c r="B68" s="13">
        <f t="shared" ca="1" si="0"/>
        <v>1.27881E-2</v>
      </c>
      <c r="C68" s="13">
        <f t="shared" ca="1" si="0"/>
        <v>6.1992000000000002E-3</v>
      </c>
      <c r="D68" s="13">
        <f t="shared" ca="1" si="0"/>
        <v>6.9176000000000445E-3</v>
      </c>
      <c r="E68" s="16">
        <f t="shared" ca="1" si="0"/>
        <v>4.2284999999999502E-3</v>
      </c>
      <c r="F68" s="18">
        <f t="shared" si="2"/>
        <v>62</v>
      </c>
    </row>
    <row r="69" spans="1:6" x14ac:dyDescent="0.15">
      <c r="A69" s="3">
        <f t="shared" si="1"/>
        <v>67</v>
      </c>
      <c r="B69" s="13">
        <f t="shared" ca="1" si="0"/>
        <v>1.39084E-2</v>
      </c>
      <c r="C69" s="13">
        <f t="shared" ca="1" si="0"/>
        <v>6.5926999999999999E-3</v>
      </c>
      <c r="D69" s="13">
        <f t="shared" ca="1" si="0"/>
        <v>7.3750999999999687E-3</v>
      </c>
      <c r="E69" s="16">
        <f t="shared" ca="1" si="0"/>
        <v>4.4636999999999845E-3</v>
      </c>
      <c r="F69" s="18">
        <f t="shared" si="2"/>
        <v>63</v>
      </c>
    </row>
    <row r="70" spans="1:6" x14ac:dyDescent="0.15">
      <c r="A70" s="3">
        <f t="shared" si="1"/>
        <v>68</v>
      </c>
      <c r="B70" s="13">
        <f t="shared" ca="1" si="0"/>
        <v>1.5062000000000001E-2</v>
      </c>
      <c r="C70" s="13">
        <f t="shared" ca="1" si="0"/>
        <v>7.0049999999999999E-3</v>
      </c>
      <c r="D70" s="13">
        <f t="shared" ca="1" si="0"/>
        <v>7.8718999999999942E-3</v>
      </c>
      <c r="E70" s="16">
        <f ca="1">IF(E$5=1,INDIRECT("'"&amp;E$3&amp;"'!"&amp;E$4&amp;$A70,TRUE),"")</f>
        <v>4.7299999999999764E-3</v>
      </c>
      <c r="F70" s="18">
        <f t="shared" si="2"/>
        <v>64</v>
      </c>
    </row>
    <row r="71" spans="1:6" x14ac:dyDescent="0.15">
      <c r="A71" s="3">
        <f t="shared" si="1"/>
        <v>69</v>
      </c>
      <c r="B71" s="13">
        <f t="shared" ref="B71:E77" ca="1" si="3">IF(B$5=1,INDIRECT("'"&amp;B$3&amp;"'!"&amp;B$4&amp;$A71,TRUE),"")</f>
        <v>1.62711E-2</v>
      </c>
      <c r="C71" s="13">
        <f t="shared" ca="1" si="3"/>
        <v>7.4467999999999999E-3</v>
      </c>
      <c r="D71" s="13">
        <f t="shared" ca="1" si="3"/>
        <v>8.4460000000000143E-3</v>
      </c>
      <c r="E71" s="16">
        <f t="shared" ca="1" si="3"/>
        <v>5.0398000000000309E-3</v>
      </c>
      <c r="F71" s="18">
        <f t="shared" si="2"/>
        <v>65</v>
      </c>
    </row>
    <row r="72" spans="1:6" x14ac:dyDescent="0.15">
      <c r="A72" s="3">
        <f t="shared" ref="A72:A77" si="4">A71+1</f>
        <v>70</v>
      </c>
      <c r="B72" s="13">
        <f t="shared" ca="1" si="3"/>
        <v>1.7551299999999999E-2</v>
      </c>
      <c r="C72" s="13">
        <f t="shared" ca="1" si="3"/>
        <v>7.9698000000000008E-3</v>
      </c>
      <c r="D72" s="13">
        <f t="shared" ca="1" si="3"/>
        <v>9.142000000000039E-3</v>
      </c>
      <c r="E72" s="16">
        <f t="shared" ca="1" si="3"/>
        <v>5.4032000000000906E-3</v>
      </c>
      <c r="F72" s="18">
        <f t="shared" ref="F72:F77" si="5">F71+1</f>
        <v>66</v>
      </c>
    </row>
    <row r="73" spans="1:6" x14ac:dyDescent="0.15">
      <c r="A73" s="3">
        <f t="shared" si="4"/>
        <v>71</v>
      </c>
      <c r="B73" s="13">
        <f t="shared" ca="1" si="3"/>
        <v>1.8904500000000001E-2</v>
      </c>
      <c r="C73" s="13">
        <f t="shared" ca="1" si="3"/>
        <v>8.6350000000000003E-3</v>
      </c>
      <c r="D73" s="13">
        <f t="shared" ca="1" si="3"/>
        <v>1.0004700000000049E-2</v>
      </c>
      <c r="E73" s="16">
        <f t="shared" ca="1" si="3"/>
        <v>5.8288000000000168E-3</v>
      </c>
      <c r="F73" s="18">
        <f t="shared" si="5"/>
        <v>67</v>
      </c>
    </row>
    <row r="74" spans="1:6" x14ac:dyDescent="0.15">
      <c r="A74" s="3">
        <f t="shared" si="4"/>
        <v>72</v>
      </c>
      <c r="B74" s="13">
        <f t="shared" ca="1" si="3"/>
        <v>2.0332800000000002E-2</v>
      </c>
      <c r="C74" s="13">
        <f t="shared" ca="1" si="3"/>
        <v>9.5023E-3</v>
      </c>
      <c r="D74" s="13">
        <f t="shared" ca="1" si="3"/>
        <v>1.1073500000000021E-2</v>
      </c>
      <c r="E74" s="16">
        <f t="shared" ca="1" si="3"/>
        <v>6.3263999999999881E-3</v>
      </c>
      <c r="F74" s="18">
        <f t="shared" si="5"/>
        <v>68</v>
      </c>
    </row>
    <row r="75" spans="1:6" x14ac:dyDescent="0.15">
      <c r="A75" s="3">
        <f t="shared" si="4"/>
        <v>73</v>
      </c>
      <c r="B75" s="13">
        <f t="shared" ca="1" si="3"/>
        <v>2.1838400000000001E-2</v>
      </c>
      <c r="C75" s="13">
        <f t="shared" ca="1" si="3"/>
        <v>1.06307E-2</v>
      </c>
      <c r="D75" s="13">
        <f t="shared" ca="1" si="3"/>
        <v>1.2380199999999925E-2</v>
      </c>
      <c r="E75" s="16">
        <f t="shared" ca="1" si="3"/>
        <v>6.9088999999999574E-3</v>
      </c>
      <c r="F75" s="18">
        <f t="shared" si="5"/>
        <v>69</v>
      </c>
    </row>
    <row r="76" spans="1:6" x14ac:dyDescent="0.15">
      <c r="A76" s="3">
        <f t="shared" si="4"/>
        <v>74</v>
      </c>
      <c r="B76" s="13">
        <f t="shared" ca="1" si="3"/>
        <v>2.3423300000000001E-2</v>
      </c>
      <c r="C76" s="13">
        <f t="shared" ca="1" si="3"/>
        <v>1.20778E-2</v>
      </c>
      <c r="D76" s="13">
        <f t="shared" ca="1" si="3"/>
        <v>1.3948299999999997E-2</v>
      </c>
      <c r="E76" s="16">
        <f t="shared" ca="1" si="3"/>
        <v>7.5944999999998904E-3</v>
      </c>
      <c r="F76" s="18">
        <f t="shared" si="5"/>
        <v>70</v>
      </c>
    </row>
    <row r="77" spans="1:6" ht="14" thickBot="1" x14ac:dyDescent="0.2">
      <c r="A77" s="4">
        <f t="shared" si="4"/>
        <v>75</v>
      </c>
      <c r="B77" s="14">
        <f t="shared" ca="1" si="3"/>
        <v>2.5106E-2</v>
      </c>
      <c r="C77" s="14">
        <f t="shared" ca="1" si="3"/>
        <v>1.39133E-2</v>
      </c>
      <c r="D77" s="14">
        <f t="shared" ca="1" si="3"/>
        <v>1.579439999999999E-2</v>
      </c>
      <c r="E77" s="17">
        <f t="shared" ca="1" si="3"/>
        <v>8.4104999999999302E-3</v>
      </c>
      <c r="F77" s="19">
        <f t="shared" si="5"/>
        <v>71</v>
      </c>
    </row>
    <row r="78" spans="1:6" x14ac:dyDescent="0.15">
      <c r="B78" s="11">
        <f ca="1">SUM(B6:B77)-SUM('EKM 95'!B4:B75)</f>
        <v>0</v>
      </c>
      <c r="C78" s="11">
        <f ca="1">SUM(C6:C77)-SUM('EKF 95'!B4:B75)</f>
        <v>0</v>
      </c>
      <c r="D78" s="11">
        <f ca="1">SUM(D6:D77)-SUM('EKM 0105'!B4:B75)</f>
        <v>0</v>
      </c>
      <c r="E78" s="11">
        <f ca="1">SUM(E6:E77)-SUM('EKF 0105'!B4:B75)</f>
        <v>0</v>
      </c>
    </row>
  </sheetData>
  <dataValidations count="1">
    <dataValidation type="list" allowBlank="1" showInputMessage="1" showErrorMessage="1" sqref="B5:E5" xr:uid="{00000000-0002-0000-0400-000000000000}">
      <formula1>"0,1"</formula1>
    </dataValidation>
  </dataValidations>
  <pageMargins left="0.7" right="0.7" top="0.75" bottom="0.75" header="0.3" footer="0.3"/>
  <customProperties>
    <customPr name="_pios_id" r:id="rId1"/>
  </customProperti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EKM 95</vt:lpstr>
      <vt:lpstr>EKF 95</vt:lpstr>
      <vt:lpstr>EKM 0105</vt:lpstr>
      <vt:lpstr>EKF 0105</vt:lpstr>
      <vt:lpstr>qx-Grafiken</vt:lpstr>
      <vt:lpstr>Data_EKF_0105</vt:lpstr>
      <vt:lpstr>Data_EKF_95</vt:lpstr>
      <vt:lpstr>Data_EKM_0105</vt:lpstr>
      <vt:lpstr>Data_EKM_95</vt:lpstr>
      <vt:lpstr>'EKF 0105'!Print_Area</vt:lpstr>
      <vt:lpstr>'EKF 95'!Print_Area</vt:lpstr>
      <vt:lpstr>'EKM 0105'!Print_Area</vt:lpstr>
      <vt:lpstr>'EKM 95'!Print_Area</vt:lpstr>
      <vt:lpstr>'EKF 0105'!Print_Titles</vt:lpstr>
      <vt:lpstr>'EKF 95'!Print_Titles</vt:lpstr>
      <vt:lpstr>'EKM 0105'!Print_Titles</vt:lpstr>
      <vt:lpstr>'EKM 95'!Print_Titles</vt:lpstr>
    </vt:vector>
  </TitlesOfParts>
  <Company>Mazars-CoresA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udo Lichtenstein</dc:creator>
  <cp:lastModifiedBy>Ghodra Amritjot (ghodramr)</cp:lastModifiedBy>
  <cp:lastPrinted>2013-09-12T13:59:50Z</cp:lastPrinted>
  <dcterms:created xsi:type="dcterms:W3CDTF">2010-08-31T11:03:55Z</dcterms:created>
  <dcterms:modified xsi:type="dcterms:W3CDTF">2026-04-21T14:31:30Z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29bb7c8b-3fd4-4dea-b697-0f2931e84efa_Enabled">
    <vt:lpwstr>true</vt:lpwstr>
  </property>
  <property fmtid="{D5CDD505-2E9C-101B-9397-08002B2CF9AE}" pid="5" name="MSIP_Label_29bb7c8b-3fd4-4dea-b697-0f2931e84efa_SetDate">
    <vt:lpwstr>2022-11-16T05:32:36Z</vt:lpwstr>
  </property>
  <property fmtid="{D5CDD505-2E9C-101B-9397-08002B2CF9AE}" pid="6" name="MSIP_Label_29bb7c8b-3fd4-4dea-b697-0f2931e84efa_Method">
    <vt:lpwstr>Privileged</vt:lpwstr>
  </property>
  <property fmtid="{D5CDD505-2E9C-101B-9397-08002B2CF9AE}" pid="7" name="MSIP_Label_29bb7c8b-3fd4-4dea-b697-0f2931e84efa_Name">
    <vt:lpwstr>29bb7c8b-3fd4-4dea-b697-0f2931e84efa</vt:lpwstr>
  </property>
  <property fmtid="{D5CDD505-2E9C-101B-9397-08002B2CF9AE}" pid="8" name="MSIP_Label_29bb7c8b-3fd4-4dea-b697-0f2931e84efa_SiteId">
    <vt:lpwstr>5d1a9f9d-201f-4a10-b983-451cf65cbc1e</vt:lpwstr>
  </property>
  <property fmtid="{D5CDD505-2E9C-101B-9397-08002B2CF9AE}" pid="9" name="MSIP_Label_29bb7c8b-3fd4-4dea-b697-0f2931e84efa_ActionId">
    <vt:lpwstr>cfb638a5-9ff9-4828-85dc-e667801a205c</vt:lpwstr>
  </property>
  <property fmtid="{D5CDD505-2E9C-101B-9397-08002B2CF9AE}" pid="10" name="MSIP_Label_29bb7c8b-3fd4-4dea-b697-0f2931e84efa_ContentBits">
    <vt:lpwstr>0</vt:lpwstr>
  </property>
</Properties>
</file>